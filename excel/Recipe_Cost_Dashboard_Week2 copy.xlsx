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denisonuniversity-my.sharepoint.com/personal/ly_h1_denison_edu/Documents/"/>
    </mc:Choice>
  </mc:AlternateContent>
  <xr:revisionPtr revIDLastSave="69" documentId="8_{9CA11DF3-ABB7-E94A-8E99-3E81CDB1FF79}" xr6:coauthVersionLast="47" xr6:coauthVersionMax="47" xr10:uidLastSave="{F7805818-9979-1445-9621-09A56BA01896}"/>
  <bookViews>
    <workbookView xWindow="0" yWindow="740" windowWidth="19980" windowHeight="14320" tabRatio="500" firstSheet="3" activeTab="6" xr2:uid="{00000000-000D-0000-FFFF-FFFF00000000}"/>
  </bookViews>
  <sheets>
    <sheet name="Read_Me" sheetId="1" r:id="rId1"/>
    <sheet name="Ingredients" sheetId="2" r:id="rId2"/>
    <sheet name="Pivot_MarginRank" sheetId="7" r:id="rId3"/>
    <sheet name="Pivot_MarginPersona" sheetId="8" r:id="rId4"/>
    <sheet name="Pivot_AtRisk" sheetId="9" r:id="rId5"/>
    <sheet name="Recipes" sheetId="3" r:id="rId6"/>
    <sheet name="Pivot_CategoriesLineCost" sheetId="10" r:id="rId7"/>
    <sheet name="Recipe_Ingredients" sheetId="4" r:id="rId8"/>
  </sheets>
  <definedNames>
    <definedName name="Slicer_Risk_Flag">#N/A</definedName>
  </definedNames>
  <calcPr calcId="191029" iterateDelta="1E-4"/>
  <pivotCaches>
    <pivotCache cacheId="18" r:id="rId9"/>
    <pivotCache cacheId="2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G2" i="4"/>
  <c r="D3" i="4"/>
  <c r="G77" i="4"/>
  <c r="E77" i="4"/>
  <c r="D77" i="4"/>
  <c r="B77" i="4"/>
  <c r="G76" i="4"/>
  <c r="E76" i="4"/>
  <c r="D76" i="4"/>
  <c r="B76" i="4"/>
  <c r="G75" i="4"/>
  <c r="E75" i="4"/>
  <c r="D75" i="4"/>
  <c r="B75" i="4"/>
  <c r="G74" i="4"/>
  <c r="E74" i="4"/>
  <c r="D74" i="4"/>
  <c r="B74" i="4"/>
  <c r="G73" i="4"/>
  <c r="E73" i="4"/>
  <c r="D73" i="4"/>
  <c r="B73" i="4"/>
  <c r="G72" i="4"/>
  <c r="E72" i="4"/>
  <c r="D72" i="4"/>
  <c r="B72" i="4"/>
  <c r="G71" i="4"/>
  <c r="E71" i="4"/>
  <c r="D71" i="4"/>
  <c r="B71" i="4"/>
  <c r="G70" i="4"/>
  <c r="E70" i="4"/>
  <c r="D70" i="4"/>
  <c r="B70" i="4"/>
  <c r="G69" i="4"/>
  <c r="E69" i="4"/>
  <c r="D69" i="4"/>
  <c r="B69" i="4"/>
  <c r="G68" i="4"/>
  <c r="E68" i="4"/>
  <c r="D68" i="4"/>
  <c r="B68" i="4"/>
  <c r="G67" i="4"/>
  <c r="E67" i="4"/>
  <c r="D67" i="4"/>
  <c r="B67" i="4"/>
  <c r="G66" i="4"/>
  <c r="E66" i="4"/>
  <c r="D66" i="4"/>
  <c r="B66" i="4"/>
  <c r="G65" i="4"/>
  <c r="E65" i="4"/>
  <c r="D65" i="4"/>
  <c r="B65" i="4"/>
  <c r="G64" i="4"/>
  <c r="E64" i="4"/>
  <c r="D64" i="4"/>
  <c r="B64" i="4"/>
  <c r="G63" i="4"/>
  <c r="E63" i="4"/>
  <c r="D63" i="4"/>
  <c r="B63" i="4"/>
  <c r="G62" i="4"/>
  <c r="E62" i="4"/>
  <c r="D62" i="4"/>
  <c r="B62" i="4"/>
  <c r="G61" i="4"/>
  <c r="E61" i="4"/>
  <c r="D61" i="4"/>
  <c r="B61" i="4"/>
  <c r="G60" i="4"/>
  <c r="E60" i="4"/>
  <c r="D60" i="4"/>
  <c r="B60" i="4"/>
  <c r="G59" i="4"/>
  <c r="E59" i="4"/>
  <c r="D59" i="4"/>
  <c r="B59" i="4"/>
  <c r="G58" i="4"/>
  <c r="E58" i="4"/>
  <c r="D58" i="4"/>
  <c r="B58" i="4"/>
  <c r="G57" i="4"/>
  <c r="E57" i="4"/>
  <c r="D57" i="4"/>
  <c r="B57" i="4"/>
  <c r="G56" i="4"/>
  <c r="E56" i="4"/>
  <c r="D56" i="4"/>
  <c r="B56" i="4"/>
  <c r="G55" i="4"/>
  <c r="E55" i="4"/>
  <c r="D55" i="4"/>
  <c r="B55" i="4"/>
  <c r="G54" i="4"/>
  <c r="E54" i="4"/>
  <c r="D54" i="4"/>
  <c r="B54" i="4"/>
  <c r="G53" i="4"/>
  <c r="E53" i="4"/>
  <c r="D53" i="4"/>
  <c r="B53" i="4"/>
  <c r="G52" i="4"/>
  <c r="E52" i="4"/>
  <c r="D52" i="4"/>
  <c r="B52" i="4"/>
  <c r="G51" i="4"/>
  <c r="E51" i="4"/>
  <c r="D51" i="4"/>
  <c r="B51" i="4"/>
  <c r="G50" i="4"/>
  <c r="E50" i="4"/>
  <c r="D50" i="4"/>
  <c r="B50" i="4"/>
  <c r="G49" i="4"/>
  <c r="E49" i="4"/>
  <c r="D49" i="4"/>
  <c r="B49" i="4"/>
  <c r="G48" i="4"/>
  <c r="E48" i="4"/>
  <c r="D48" i="4"/>
  <c r="B48" i="4"/>
  <c r="G47" i="4"/>
  <c r="G10" i="3" s="1"/>
  <c r="H10" i="3" s="1"/>
  <c r="I10" i="3" s="1"/>
  <c r="J10" i="3" s="1"/>
  <c r="E47" i="4"/>
  <c r="D47" i="4"/>
  <c r="B47" i="4"/>
  <c r="G46" i="4"/>
  <c r="E46" i="4"/>
  <c r="D46" i="4"/>
  <c r="B46" i="4"/>
  <c r="G45" i="4"/>
  <c r="E45" i="4"/>
  <c r="D45" i="4"/>
  <c r="B45" i="4"/>
  <c r="G44" i="4"/>
  <c r="E44" i="4"/>
  <c r="D44" i="4"/>
  <c r="B44" i="4"/>
  <c r="G43" i="4"/>
  <c r="G8" i="3" s="1"/>
  <c r="H8" i="3" s="1"/>
  <c r="I8" i="3" s="1"/>
  <c r="J8" i="3" s="1"/>
  <c r="E43" i="4"/>
  <c r="D43" i="4"/>
  <c r="B43" i="4"/>
  <c r="G42" i="4"/>
  <c r="E42" i="4"/>
  <c r="D42" i="4"/>
  <c r="B42" i="4"/>
  <c r="G41" i="4"/>
  <c r="E41" i="4"/>
  <c r="D41" i="4"/>
  <c r="B41" i="4"/>
  <c r="G40" i="4"/>
  <c r="E40" i="4"/>
  <c r="D40" i="4"/>
  <c r="B40" i="4"/>
  <c r="G39" i="4"/>
  <c r="E39" i="4"/>
  <c r="D39" i="4"/>
  <c r="B39" i="4"/>
  <c r="G38" i="4"/>
  <c r="E38" i="4"/>
  <c r="D38" i="4"/>
  <c r="B38" i="4"/>
  <c r="G37" i="4"/>
  <c r="E37" i="4"/>
  <c r="D37" i="4"/>
  <c r="B37" i="4"/>
  <c r="G36" i="4"/>
  <c r="E36" i="4"/>
  <c r="D36" i="4"/>
  <c r="B36" i="4"/>
  <c r="G35" i="4"/>
  <c r="E35" i="4"/>
  <c r="D35" i="4"/>
  <c r="B35" i="4"/>
  <c r="G34" i="4"/>
  <c r="E34" i="4"/>
  <c r="D34" i="4"/>
  <c r="B34" i="4"/>
  <c r="G33" i="4"/>
  <c r="E33" i="4"/>
  <c r="D33" i="4"/>
  <c r="B33" i="4"/>
  <c r="G32" i="4"/>
  <c r="E32" i="4"/>
  <c r="D32" i="4"/>
  <c r="B32" i="4"/>
  <c r="G31" i="4"/>
  <c r="E31" i="4"/>
  <c r="D31" i="4"/>
  <c r="B31" i="4"/>
  <c r="G30" i="4"/>
  <c r="E30" i="4"/>
  <c r="D30" i="4"/>
  <c r="B30" i="4"/>
  <c r="G29" i="4"/>
  <c r="E29" i="4"/>
  <c r="D29" i="4"/>
  <c r="B29" i="4"/>
  <c r="G28" i="4"/>
  <c r="E28" i="4"/>
  <c r="D28" i="4"/>
  <c r="B28" i="4"/>
  <c r="G27" i="4"/>
  <c r="G5" i="3" s="1"/>
  <c r="H5" i="3" s="1"/>
  <c r="I5" i="3" s="1"/>
  <c r="J5" i="3" s="1"/>
  <c r="E27" i="4"/>
  <c r="D27" i="4"/>
  <c r="B27" i="4"/>
  <c r="G26" i="4"/>
  <c r="E26" i="4"/>
  <c r="D26" i="4"/>
  <c r="B26" i="4"/>
  <c r="G25" i="4"/>
  <c r="E25" i="4"/>
  <c r="D25" i="4"/>
  <c r="B25" i="4"/>
  <c r="G24" i="4"/>
  <c r="E24" i="4"/>
  <c r="D24" i="4"/>
  <c r="B24" i="4"/>
  <c r="G23" i="4"/>
  <c r="E23" i="4"/>
  <c r="D23" i="4"/>
  <c r="B23" i="4"/>
  <c r="G22" i="4"/>
  <c r="E22" i="4"/>
  <c r="D22" i="4"/>
  <c r="B22" i="4"/>
  <c r="G21" i="4"/>
  <c r="E21" i="4"/>
  <c r="D21" i="4"/>
  <c r="B21" i="4"/>
  <c r="G20" i="4"/>
  <c r="E20" i="4"/>
  <c r="D20" i="4"/>
  <c r="B20" i="4"/>
  <c r="G19" i="4"/>
  <c r="E19" i="4"/>
  <c r="D19" i="4"/>
  <c r="B19" i="4"/>
  <c r="G18" i="4"/>
  <c r="E18" i="4"/>
  <c r="D18" i="4"/>
  <c r="B18" i="4"/>
  <c r="G17" i="4"/>
  <c r="E17" i="4"/>
  <c r="D17" i="4"/>
  <c r="B17" i="4"/>
  <c r="G16" i="4"/>
  <c r="E16" i="4"/>
  <c r="D16" i="4"/>
  <c r="B16" i="4"/>
  <c r="G15" i="4"/>
  <c r="E15" i="4"/>
  <c r="D15" i="4"/>
  <c r="B15" i="4"/>
  <c r="G14" i="4"/>
  <c r="E14" i="4"/>
  <c r="D14" i="4"/>
  <c r="B14" i="4"/>
  <c r="G13" i="4"/>
  <c r="E13" i="4"/>
  <c r="D13" i="4"/>
  <c r="B13" i="4"/>
  <c r="G12" i="4"/>
  <c r="E12" i="4"/>
  <c r="D12" i="4"/>
  <c r="B12" i="4"/>
  <c r="G11" i="4"/>
  <c r="E11" i="4"/>
  <c r="D11" i="4"/>
  <c r="B11" i="4"/>
  <c r="G10" i="4"/>
  <c r="E10" i="4"/>
  <c r="D10" i="4"/>
  <c r="B10" i="4"/>
  <c r="G9" i="4"/>
  <c r="E9" i="4"/>
  <c r="D9" i="4"/>
  <c r="B9" i="4"/>
  <c r="G8" i="4"/>
  <c r="E8" i="4"/>
  <c r="D8" i="4"/>
  <c r="B8" i="4"/>
  <c r="G7" i="4"/>
  <c r="E7" i="4"/>
  <c r="D7" i="4"/>
  <c r="B7" i="4"/>
  <c r="G6" i="4"/>
  <c r="E6" i="4"/>
  <c r="D6" i="4"/>
  <c r="B6" i="4"/>
  <c r="G5" i="4"/>
  <c r="E5" i="4"/>
  <c r="D5" i="4"/>
  <c r="B5" i="4"/>
  <c r="G4" i="4"/>
  <c r="E4" i="4"/>
  <c r="D4" i="4"/>
  <c r="B4" i="4"/>
  <c r="G3" i="4"/>
  <c r="G2" i="3" s="1"/>
  <c r="H2" i="3" s="1"/>
  <c r="I2" i="3" s="1"/>
  <c r="J2" i="3" s="1"/>
  <c r="E3" i="4"/>
  <c r="B3" i="4"/>
  <c r="E2" i="4"/>
  <c r="D2" i="4"/>
  <c r="B2" i="4"/>
  <c r="G3" i="3" l="1"/>
  <c r="H3" i="3" s="1"/>
  <c r="I3" i="3" s="1"/>
  <c r="J3" i="3" s="1"/>
  <c r="G6" i="3"/>
  <c r="H6" i="3" s="1"/>
  <c r="I6" i="3" s="1"/>
  <c r="J6" i="3" s="1"/>
  <c r="G11" i="3"/>
  <c r="H11" i="3" s="1"/>
  <c r="I11" i="3" s="1"/>
  <c r="J11" i="3" s="1"/>
  <c r="G4" i="3"/>
  <c r="H4" i="3" s="1"/>
  <c r="I4" i="3" s="1"/>
  <c r="J4" i="3" s="1"/>
  <c r="G9" i="3"/>
  <c r="H9" i="3" s="1"/>
  <c r="I9" i="3" s="1"/>
  <c r="J9" i="3" s="1"/>
  <c r="G7" i="3"/>
  <c r="H7" i="3" s="1"/>
  <c r="I7" i="3" s="1"/>
  <c r="J7" i="3" s="1"/>
</calcChain>
</file>

<file path=xl/sharedStrings.xml><?xml version="1.0" encoding="utf-8"?>
<sst xmlns="http://schemas.openxmlformats.org/spreadsheetml/2006/main" count="333" uniqueCount="129">
  <si>
    <t>Recipe Cost &amp; Margin Risk Dashboard — Week 2 Data Model</t>
  </si>
  <si>
    <t>Color legend:</t>
  </si>
  <si>
    <t>Blue text = hardcoded input (type these yourself)</t>
  </si>
  <si>
    <t>Green text = formula pulling from another sheet (VLOOKUP / SUMIF)</t>
  </si>
  <si>
    <t>Black text = formula using only cells on the same sheet</t>
  </si>
  <si>
    <t>Sheet order &amp; purpose:</t>
  </si>
  <si>
    <t>1. Ingredients — master list. One row per ingredient. Never repeats.</t>
  </si>
  <si>
    <t>2. Recipes — one row per recipe. Margin %% and Risk_Flag live here.</t>
  </si>
  <si>
    <t>3. Recipe_Ingredients — junction table. One row per (recipe, ingredient) pair.</t>
  </si>
  <si>
    <t xml:space="preserve">   Use the dropdowns in columns A and C — don't type IDs by hand.</t>
  </si>
  <si>
    <t>To add a new recipe:</t>
  </si>
  <si>
    <t>1. Add a new row in Recipes with a new Recipe_ID, then drag formulas G:J down.</t>
  </si>
  <si>
    <t>2. Add one row per ingredient in Recipe_Ingredients, picking Recipe_ID and</t>
  </si>
  <si>
    <t xml:space="preserve">   Ingredient_ID from the dropdowns. Recipe_Name/Ingredient_Name/Unit/Line_Cost</t>
  </si>
  <si>
    <t xml:space="preserve">   fill in automatically.</t>
  </si>
  <si>
    <t>To add a new ingredient:</t>
  </si>
  <si>
    <t>1. Add a new row in Ingredients with a new Ingredient_ID. It becomes available</t>
  </si>
  <si>
    <t xml:space="preserve">   in the Recipe_Ingredients dropdown immediately.</t>
  </si>
  <si>
    <t>Ingredient_ID</t>
  </si>
  <si>
    <t>Ingredient_Name</t>
  </si>
  <si>
    <t>Unit</t>
  </si>
  <si>
    <t>Cost_Per_Unit</t>
  </si>
  <si>
    <t>Primary_Vendor</t>
  </si>
  <si>
    <t>Category</t>
  </si>
  <si>
    <t>ING001</t>
  </si>
  <si>
    <t>All-Purpose Flour</t>
  </si>
  <si>
    <t>g</t>
  </si>
  <si>
    <t>Costco</t>
  </si>
  <si>
    <t>Dry Goods</t>
  </si>
  <si>
    <t>ING002</t>
  </si>
  <si>
    <t>Granulated Sugar</t>
  </si>
  <si>
    <t>ING003</t>
  </si>
  <si>
    <t>Unsalted Butter</t>
  </si>
  <si>
    <t>Kroger</t>
  </si>
  <si>
    <t>Dairy</t>
  </si>
  <si>
    <t>ING004</t>
  </si>
  <si>
    <t>Large Eggs</t>
  </si>
  <si>
    <t>ea</t>
  </si>
  <si>
    <t>ING005</t>
  </si>
  <si>
    <t>Chocolate Chips</t>
  </si>
  <si>
    <t>ING006</t>
  </si>
  <si>
    <t>Brown Sugar</t>
  </si>
  <si>
    <t>ING007</t>
  </si>
  <si>
    <t>Vanilla Extract</t>
  </si>
  <si>
    <t>ml</t>
  </si>
  <si>
    <t>ING008</t>
  </si>
  <si>
    <t>Baking Soda</t>
  </si>
  <si>
    <t>ING009</t>
  </si>
  <si>
    <t>Salt</t>
  </si>
  <si>
    <t>ING010</t>
  </si>
  <si>
    <t>Lemons</t>
  </si>
  <si>
    <t>Produce</t>
  </si>
  <si>
    <t>ING011</t>
  </si>
  <si>
    <t>Powdered Sugar</t>
  </si>
  <si>
    <t>ING012</t>
  </si>
  <si>
    <t>Cocoa Powder</t>
  </si>
  <si>
    <t>ING013</t>
  </si>
  <si>
    <t>Bananas</t>
  </si>
  <si>
    <t>ING014</t>
  </si>
  <si>
    <t>Milk</t>
  </si>
  <si>
    <t>ING015</t>
  </si>
  <si>
    <t>Espresso Beans</t>
  </si>
  <si>
    <t>Local Roaster</t>
  </si>
  <si>
    <t>ING016</t>
  </si>
  <si>
    <t>Black Tea Bags</t>
  </si>
  <si>
    <t>ING017</t>
  </si>
  <si>
    <t>Blueberries</t>
  </si>
  <si>
    <t>ING018</t>
  </si>
  <si>
    <t>Baking Powder</t>
  </si>
  <si>
    <t>ING019</t>
  </si>
  <si>
    <t>Chicken Breast</t>
  </si>
  <si>
    <t>Restaurant Depot</t>
  </si>
  <si>
    <t>Protein</t>
  </si>
  <si>
    <t>ING020</t>
  </si>
  <si>
    <t>Water</t>
  </si>
  <si>
    <t>N/A</t>
  </si>
  <si>
    <t>Free/Negligible</t>
  </si>
  <si>
    <t>ING021</t>
  </si>
  <si>
    <t>Ice</t>
  </si>
  <si>
    <t>Recipe_ID</t>
  </si>
  <si>
    <t>Recipe_Name</t>
  </si>
  <si>
    <t>Persona_Type</t>
  </si>
  <si>
    <t>Selling_Price</t>
  </si>
  <si>
    <t>Yield</t>
  </si>
  <si>
    <t>Notes</t>
  </si>
  <si>
    <t>Total_Batch_Cost</t>
  </si>
  <si>
    <t>Cost_Per_Unit_Sold</t>
  </si>
  <si>
    <t>Margin_%</t>
  </si>
  <si>
    <t>Risk_Flag</t>
  </si>
  <si>
    <t>REC001</t>
  </si>
  <si>
    <t>Chocolate Chip Cookies</t>
  </si>
  <si>
    <t>Mai</t>
  </si>
  <si>
    <t>price per cookie</t>
  </si>
  <si>
    <t>REC002</t>
  </si>
  <si>
    <t>Lemon Bars</t>
  </si>
  <si>
    <t>price per bar — intentionally underpriced, test case</t>
  </si>
  <si>
    <t>REC003</t>
  </si>
  <si>
    <t>Fudge Brownies</t>
  </si>
  <si>
    <t>price per brownie</t>
  </si>
  <si>
    <t>REC004</t>
  </si>
  <si>
    <t>Banana Bread</t>
  </si>
  <si>
    <t>price per slice</t>
  </si>
  <si>
    <t>REC005</t>
  </si>
  <si>
    <t>Sugar Cookies</t>
  </si>
  <si>
    <t>REC006</t>
  </si>
  <si>
    <t>Latte</t>
  </si>
  <si>
    <t>Daniel</t>
  </si>
  <si>
    <t>price per drink</t>
  </si>
  <si>
    <t>REC007</t>
  </si>
  <si>
    <t>Cappuccino</t>
  </si>
  <si>
    <t>REC008</t>
  </si>
  <si>
    <t>Iced Tea</t>
  </si>
  <si>
    <t>price per drink, includes ice</t>
  </si>
  <si>
    <t>REC009</t>
  </si>
  <si>
    <t>Blueberry Muffin</t>
  </si>
  <si>
    <t>price per muffin, batch of 12</t>
  </si>
  <si>
    <t>REC010</t>
  </si>
  <si>
    <t>Chicken Tex-Mex Tray</t>
  </si>
  <si>
    <t>Albert</t>
  </si>
  <si>
    <t>price per serving, tray serves 50</t>
  </si>
  <si>
    <t>Quantity_Used</t>
  </si>
  <si>
    <t>Line_Cost</t>
  </si>
  <si>
    <t>Row Labels</t>
  </si>
  <si>
    <t>Grand Total</t>
  </si>
  <si>
    <t>Average of Margin_%</t>
  </si>
  <si>
    <t>AT RISK</t>
  </si>
  <si>
    <t>Categories</t>
  </si>
  <si>
    <t>#N/A</t>
  </si>
  <si>
    <t>Sum of Line_Cost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</si>
</sst>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
    <numFmt numFmtId="166" formatCode="0.0%"/>
    <numFmt numFmtId="167" formatCode="&quot;$&quot;#,##0.00"/>
  </numFmts>
  <fonts count="10" x14ac:knownFonts="1">
    <font>
      <sz val="11"/>
      <color theme="1"/>
      <name val="Calibri"/>
      <family val="2"/>
      <charset val="1"/>
    </font>
    <font>
      <b/>
      <sz val="13"/>
      <name val="Calibri"/>
      <family val="2"/>
    </font>
    <font>
      <sz val="11"/>
      <name val="Calibri"/>
      <family val="2"/>
    </font>
    <font>
      <b/>
      <sz val="11"/>
      <name val="Calibri"/>
      <family val="2"/>
    </font>
    <font>
      <b/>
      <sz val="11"/>
      <color rgb="FFFFFFFF"/>
      <name val="Calibri"/>
      <family val="2"/>
    </font>
    <font>
      <sz val="11"/>
      <color rgb="FF0000FF"/>
      <name val="Calibri"/>
      <family val="2"/>
    </font>
    <font>
      <sz val="11"/>
      <color rgb="FF008000"/>
      <name val="Calibri"/>
      <family val="2"/>
    </font>
    <font>
      <sz val="11"/>
      <color rgb="FF000000"/>
      <name val="Calibri"/>
      <family val="2"/>
    </font>
    <font>
      <b/>
      <sz val="11"/>
      <color rgb="FF000000"/>
      <name val="Calibri"/>
      <family val="2"/>
    </font>
    <font>
      <i/>
      <sz val="11"/>
      <color rgb="FF0000FF"/>
      <name val="Calibri"/>
      <family val="2"/>
    </font>
  </fonts>
  <fills count="3">
    <fill>
      <patternFill patternType="none"/>
    </fill>
    <fill>
      <patternFill patternType="gray125"/>
    </fill>
    <fill>
      <patternFill patternType="solid">
        <fgColor rgb="FF305496"/>
        <bgColor rgb="FF666699"/>
      </patternFill>
    </fill>
  </fills>
  <borders count="10">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5" fillId="0" borderId="1" xfId="0" applyFont="1" applyBorder="1"/>
    <xf numFmtId="164" fontId="5" fillId="0" borderId="1" xfId="0" applyNumberFormat="1" applyFont="1" applyBorder="1"/>
    <xf numFmtId="165" fontId="5" fillId="0" borderId="1" xfId="0" applyNumberFormat="1" applyFont="1" applyBorder="1"/>
    <xf numFmtId="164" fontId="6" fillId="0" borderId="1" xfId="0" applyNumberFormat="1" applyFont="1" applyBorder="1"/>
    <xf numFmtId="164" fontId="7" fillId="0" borderId="1" xfId="0" applyNumberFormat="1" applyFont="1" applyBorder="1"/>
    <xf numFmtId="166" fontId="7" fillId="0" borderId="1" xfId="0" applyNumberFormat="1" applyFont="1" applyBorder="1"/>
    <xf numFmtId="0" fontId="6" fillId="0" borderId="1" xfId="0" applyFont="1" applyBorder="1"/>
    <xf numFmtId="0" fontId="0" fillId="0" borderId="0" xfId="0" pivotButton="1"/>
    <xf numFmtId="0" fontId="0" fillId="0" borderId="0" xfId="0" applyAlignment="1">
      <alignment horizontal="left"/>
    </xf>
    <xf numFmtId="166" fontId="0" fillId="0" borderId="0" xfId="0" applyNumberFormat="1"/>
    <xf numFmtId="0" fontId="5" fillId="0" borderId="2" xfId="0" applyFont="1" applyBorder="1"/>
    <xf numFmtId="0" fontId="5" fillId="0" borderId="3" xfId="0" applyFont="1" applyBorder="1"/>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0" borderId="7" xfId="0" applyFont="1" applyBorder="1"/>
    <xf numFmtId="0" fontId="5" fillId="0" borderId="8" xfId="0" applyFont="1" applyBorder="1"/>
    <xf numFmtId="164" fontId="5" fillId="0" borderId="8" xfId="0" applyNumberFormat="1" applyFont="1" applyBorder="1"/>
    <xf numFmtId="0" fontId="5" fillId="0" borderId="9" xfId="0" applyFont="1" applyBorder="1"/>
    <xf numFmtId="0" fontId="8" fillId="0" borderId="3" xfId="0" applyFont="1" applyBorder="1"/>
    <xf numFmtId="165" fontId="5" fillId="0" borderId="8" xfId="0" applyNumberFormat="1" applyFont="1" applyBorder="1"/>
    <xf numFmtId="164" fontId="6" fillId="0" borderId="8" xfId="0" applyNumberFormat="1" applyFont="1" applyBorder="1"/>
    <xf numFmtId="164" fontId="7" fillId="0" borderId="8" xfId="0" applyNumberFormat="1" applyFont="1" applyBorder="1"/>
    <xf numFmtId="166" fontId="7" fillId="0" borderId="8" xfId="0" applyNumberFormat="1" applyFont="1" applyBorder="1"/>
    <xf numFmtId="0" fontId="8" fillId="0" borderId="9" xfId="0" applyFont="1" applyBorder="1"/>
    <xf numFmtId="164" fontId="6" fillId="0" borderId="3" xfId="0" applyNumberFormat="1" applyFont="1" applyBorder="1"/>
    <xf numFmtId="165" fontId="9" fillId="0" borderId="1" xfId="0" applyNumberFormat="1" applyFont="1" applyBorder="1"/>
    <xf numFmtId="167" fontId="0" fillId="0" borderId="0" xfId="0" applyNumberFormat="1"/>
  </cellXfs>
  <cellStyles count="1">
    <cellStyle name="Normal" xfId="0" builtinId="0"/>
  </cellStyles>
  <dxfs count="35">
    <dxf>
      <numFmt numFmtId="0" formatCode="General"/>
    </dxf>
    <dxf>
      <font>
        <b/>
        <color rgb="FF38761D"/>
      </font>
      <fill>
        <patternFill>
          <bgColor rgb="FFD9EAD3"/>
        </patternFill>
      </fill>
    </dxf>
    <dxf>
      <font>
        <b/>
        <color rgb="FF990000"/>
      </font>
      <fill>
        <patternFill>
          <bgColor rgb="FFF4CCCC"/>
        </patternFill>
      </fill>
    </dxf>
    <dxf>
      <font>
        <b/>
        <i val="0"/>
        <strike val="0"/>
        <condense val="0"/>
        <extend val="0"/>
        <outline val="0"/>
        <shadow val="0"/>
        <u val="none"/>
        <vertAlign val="baseline"/>
        <sz val="11"/>
        <color rgb="FFFFFFFF"/>
        <name val="Calibri"/>
        <family val="2"/>
        <scheme val="none"/>
      </font>
      <fill>
        <patternFill patternType="solid">
          <fgColor rgb="FF666699"/>
          <bgColor rgb="FF305496"/>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1"/>
        <color rgb="FF008000"/>
        <name val="Calibri"/>
        <family val="2"/>
        <scheme val="none"/>
      </font>
      <numFmt numFmtId="164" formatCode="\$#,##0.0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1"/>
        <color rgb="FF008000"/>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8000"/>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8000"/>
        <name val="Calibri"/>
        <family val="2"/>
        <scheme val="none"/>
      </font>
      <border diagonalUp="0" diagonalDown="0">
        <left style="thin">
          <color rgb="FFB7B7B7"/>
        </left>
        <right style="thin">
          <color rgb="FFB7B7B7"/>
        </right>
        <top style="thin">
          <color rgb="FFB7B7B7"/>
        </top>
        <bottom style="thin">
          <color rgb="FFB7B7B7"/>
        </bottom>
        <vertical/>
        <horizontal/>
      </border>
    </dxf>
    <dxf>
      <border outline="0">
        <bottom style="thin">
          <color rgb="FFB7B7B7"/>
        </bottom>
      </border>
    </dxf>
    <dxf>
      <border outline="0">
        <right style="thin">
          <color rgb="FFB7B7B7"/>
        </right>
        <top style="thin">
          <color rgb="FFB7B7B7"/>
        </top>
      </border>
    </dxf>
    <dxf>
      <font>
        <b/>
        <i val="0"/>
        <strike val="0"/>
        <condense val="0"/>
        <extend val="0"/>
        <outline val="0"/>
        <shadow val="0"/>
        <u val="none"/>
        <vertAlign val="baseline"/>
        <sz val="11"/>
        <color rgb="FFFFFFFF"/>
        <name val="Calibri"/>
        <family val="2"/>
        <scheme val="none"/>
      </font>
      <fill>
        <patternFill patternType="solid">
          <fgColor rgb="FF666699"/>
          <bgColor rgb="FF305496"/>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b/>
        <i val="0"/>
        <strike val="0"/>
        <condense val="0"/>
        <extend val="0"/>
        <outline val="0"/>
        <shadow val="0"/>
        <u val="none"/>
        <vertAlign val="baseline"/>
        <sz val="11"/>
        <color rgb="FF000000"/>
        <name val="Calibri"/>
        <family val="2"/>
        <scheme val="none"/>
      </font>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1"/>
        <color rgb="FF000000"/>
        <name val="Calibri"/>
        <family val="2"/>
        <scheme val="none"/>
      </font>
      <numFmt numFmtId="166" formatCode="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00"/>
        <name val="Calibri"/>
        <family val="2"/>
        <scheme val="none"/>
      </font>
      <numFmt numFmtId="164" formatCode="\$#,##0.0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8000"/>
        <name val="Calibri"/>
        <family val="2"/>
        <scheme val="none"/>
      </font>
      <numFmt numFmtId="164" formatCode="\$#,##0.0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numFmt numFmtId="165"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none"/>
      </font>
      <fill>
        <patternFill patternType="solid">
          <fgColor rgb="FF666699"/>
          <bgColor rgb="FF305496"/>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1"/>
        <color rgb="FF0000FF"/>
        <name val="Calibri"/>
        <family val="2"/>
        <scheme val="none"/>
      </font>
    </dxf>
    <dxf>
      <font>
        <b val="0"/>
        <i val="0"/>
        <strike val="0"/>
        <condense val="0"/>
        <extend val="0"/>
        <outline val="0"/>
        <shadow val="0"/>
        <u val="none"/>
        <vertAlign val="baseline"/>
        <sz val="11"/>
        <color rgb="FF0000FF"/>
        <name val="Calibri"/>
        <family val="2"/>
        <scheme val="none"/>
      </font>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numFmt numFmtId="164" formatCode="\$#,##0.0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0000FF"/>
        <name val="Calibri"/>
        <family val="2"/>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8761D"/>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292100</xdr:colOff>
      <xdr:row>0</xdr:row>
      <xdr:rowOff>127000</xdr:rowOff>
    </xdr:from>
    <xdr:to>
      <xdr:col>5</xdr:col>
      <xdr:colOff>469900</xdr:colOff>
      <xdr:row>13</xdr:row>
      <xdr:rowOff>79369</xdr:rowOff>
    </xdr:to>
    <mc:AlternateContent xmlns:mc="http://schemas.openxmlformats.org/markup-compatibility/2006">
      <mc:Choice xmlns:a14="http://schemas.microsoft.com/office/drawing/2010/main" Requires="a14">
        <xdr:graphicFrame macro="">
          <xdr:nvGraphicFramePr>
            <xdr:cNvPr id="2" name="Risk_Flag">
              <a:extLst>
                <a:ext uri="{FF2B5EF4-FFF2-40B4-BE49-F238E27FC236}">
                  <a16:creationId xmlns:a16="http://schemas.microsoft.com/office/drawing/2014/main" id="{922F1717-2623-89C2-0742-43CECE9EFFC3}"/>
                </a:ext>
              </a:extLst>
            </xdr:cNvPr>
            <xdr:cNvGraphicFramePr/>
          </xdr:nvGraphicFramePr>
          <xdr:xfrm>
            <a:off x="0" y="0"/>
            <a:ext cx="0" cy="0"/>
          </xdr:xfrm>
          <a:graphic>
            <a:graphicData uri="http://schemas.microsoft.com/office/drawing/2010/slicer">
              <sle:slicer xmlns:sle="http://schemas.microsoft.com/office/drawing/2010/slicer" name="Risk_Flag"/>
            </a:graphicData>
          </a:graphic>
        </xdr:graphicFrame>
      </mc:Choice>
      <mc:Fallback>
        <xdr:sp macro="" textlink="">
          <xdr:nvSpPr>
            <xdr:cNvPr id="0" name=""/>
            <xdr:cNvSpPr>
              <a:spLocks noTextEdit="1"/>
            </xdr:cNvSpPr>
          </xdr:nvSpPr>
          <xdr:spPr>
            <a:xfrm>
              <a:off x="3378200" y="127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g Ly" refreshedDate="46230.607336342589" createdVersion="8" refreshedVersion="8" minRefreshableVersion="3" recordCount="10" xr:uid="{03BCB7A6-2845-5C45-9BFE-77C459DE8982}">
  <cacheSource type="worksheet">
    <worksheetSource name="tbl_Recipes"/>
  </cacheSource>
  <cacheFields count="10">
    <cacheField name="Recipe_ID" numFmtId="0">
      <sharedItems count="10">
        <s v="REC001"/>
        <s v="REC002"/>
        <s v="REC003"/>
        <s v="REC004"/>
        <s v="REC005"/>
        <s v="REC006"/>
        <s v="REC007"/>
        <s v="REC008"/>
        <s v="REC009"/>
        <s v="REC010"/>
      </sharedItems>
    </cacheField>
    <cacheField name="Recipe_Name" numFmtId="0">
      <sharedItems count="10">
        <s v="Chocolate Chip Cookies"/>
        <s v="Lemon Bars"/>
        <s v="Fudge Brownies"/>
        <s v="Banana Bread"/>
        <s v="Sugar Cookies"/>
        <s v="Latte"/>
        <s v="Cappuccino"/>
        <s v="Iced Tea"/>
        <s v="Blueberry Muffin"/>
        <s v="Chicken Tex-Mex Tray"/>
      </sharedItems>
    </cacheField>
    <cacheField name="Persona_Type" numFmtId="0">
      <sharedItems count="3">
        <s v="Mai"/>
        <s v="Daniel"/>
        <s v="Albert"/>
      </sharedItems>
    </cacheField>
    <cacheField name="Selling_Price" numFmtId="165">
      <sharedItems containsSemiMixedTypes="0" containsString="0" containsNumber="1" minValue="0.5" maxValue="8"/>
    </cacheField>
    <cacheField name="Yield" numFmtId="0">
      <sharedItems containsSemiMixedTypes="0" containsString="0" containsNumber="1" containsInteger="1" minValue="1" maxValue="50"/>
    </cacheField>
    <cacheField name="Notes" numFmtId="0">
      <sharedItems/>
    </cacheField>
    <cacheField name="Total_Batch_Cost" numFmtId="164">
      <sharedItems containsSemiMixedTypes="0" containsString="0" containsNumber="1" minValue="0.155" maxValue="44.230000000000004"/>
    </cacheField>
    <cacheField name="Cost_Per_Unit_Sold" numFmtId="164">
      <sharedItems containsSemiMixedTypes="0" containsString="0" containsNumber="1" minValue="0.155" maxValue="0.88460000000000005"/>
    </cacheField>
    <cacheField name="Margin_%" numFmtId="166">
      <sharedItems containsSemiMixedTypes="0" containsString="0" containsNumber="1" minValue="9.1000000000000081E-2" maxValue="0.94833333333333336" count="10">
        <n v="0.87034999999999996"/>
        <n v="9.1000000000000081E-2"/>
        <n v="0.8819285714285714"/>
        <n v="0.90018750000000003"/>
        <n v="0.92245833333333338"/>
        <n v="0.85111111111111115"/>
        <n v="0.86305882352941177"/>
        <n v="0.94833333333333336"/>
        <n v="0.90077777777777779"/>
        <n v="0.88942500000000002"/>
      </sharedItems>
    </cacheField>
    <cacheField name="Risk_Flag" numFmtId="0">
      <sharedItems count="2">
        <s v="OK"/>
        <s v="AT RISK"/>
      </sharedItems>
    </cacheField>
  </cacheFields>
  <extLst>
    <ext xmlns:x14="http://schemas.microsoft.com/office/spreadsheetml/2009/9/main" uri="{725AE2AE-9491-48be-B2B4-4EB974FC3084}">
      <x14:pivotCacheDefinition pivotCacheId="1719145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g Ly" refreshedDate="46230.622923842595" createdVersion="8" refreshedVersion="8" minRefreshableVersion="3" recordCount="76" xr:uid="{79810029-B362-3F48-AD96-DA35480BB781}">
  <cacheSource type="worksheet">
    <worksheetSource name="tbl_RI"/>
  </cacheSource>
  <cacheFields count="8">
    <cacheField name="Recipe_ID" numFmtId="0">
      <sharedItems containsBlank="1"/>
    </cacheField>
    <cacheField name="Recipe_Name" numFmtId="0">
      <sharedItems/>
    </cacheField>
    <cacheField name="Ingredient_ID" numFmtId="0">
      <sharedItems containsBlank="1"/>
    </cacheField>
    <cacheField name="Ingredient_Name" numFmtId="0">
      <sharedItems/>
    </cacheField>
    <cacheField name="Unit" numFmtId="0">
      <sharedItems/>
    </cacheField>
    <cacheField name="Quantity_Used" numFmtId="0">
      <sharedItems containsString="0" containsBlank="1" containsNumber="1" containsInteger="1" minValue="1" maxValue="5000"/>
    </cacheField>
    <cacheField name="Line_Cost" numFmtId="164">
      <sharedItems containsMixedTypes="1" containsNumber="1" minValue="2E-3" maxValue="44" count="33">
        <n v="0.61599999999999999"/>
        <n v="0.27"/>
        <n v="0.3"/>
        <n v="1.9800000000000002"/>
        <n v="0.6"/>
        <n v="0.4"/>
        <n v="0.01"/>
        <n v="3.0000000000000001E-3"/>
        <n v="3.6"/>
        <n v="0.55000000000000004"/>
        <n v="1.2"/>
        <n v="0.54"/>
        <n v="2.4"/>
        <n v="2E-3"/>
        <n v="0.33"/>
        <n v="0.96"/>
        <n v="1.012"/>
        <n v="0.75"/>
        <n v="0.66"/>
        <n v="0.36"/>
        <n v="0.02"/>
        <n v="0.45"/>
        <n v="0.22"/>
        <n v="0.13200000000000001"/>
        <n v="0.1"/>
        <n v="3.5000000000000003E-2"/>
        <n v="0.19800000000000001"/>
        <n v="3.2000000000000001E-2"/>
        <n v="1.6"/>
        <n v="44"/>
        <n v="0.2"/>
        <n v="0.03"/>
        <s v=""/>
      </sharedItems>
    </cacheField>
    <cacheField name="Categories" numFmtId="0">
      <sharedItems count="6">
        <s v="Dry Goods"/>
        <s v="Dairy"/>
        <s v="Produce"/>
        <s v="Free/Negligible"/>
        <s v="Protein"/>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2.5"/>
    <n v="24"/>
    <s v="price per cookie"/>
    <n v="7.7789999999999999"/>
    <n v="0.324125"/>
    <x v="0"/>
    <x v="0"/>
  </r>
  <r>
    <x v="1"/>
    <x v="1"/>
    <x v="0"/>
    <n v="0.5"/>
    <n v="16"/>
    <s v="price per bar — intentionally underpriced, test case"/>
    <n v="7.2719999999999994"/>
    <n v="0.45449999999999996"/>
    <x v="1"/>
    <x v="1"/>
  </r>
  <r>
    <x v="2"/>
    <x v="2"/>
    <x v="0"/>
    <n v="3.5"/>
    <n v="16"/>
    <s v="price per brownie"/>
    <n v="6.612000000000001"/>
    <n v="0.41325000000000006"/>
    <x v="2"/>
    <x v="0"/>
  </r>
  <r>
    <x v="3"/>
    <x v="3"/>
    <x v="0"/>
    <n v="4"/>
    <n v="8"/>
    <s v="price per slice"/>
    <n v="3.1939999999999995"/>
    <n v="0.39924999999999994"/>
    <x v="3"/>
    <x v="0"/>
  </r>
  <r>
    <x v="4"/>
    <x v="4"/>
    <x v="0"/>
    <n v="2"/>
    <n v="24"/>
    <s v="price per cookie"/>
    <n v="3.7219999999999995"/>
    <n v="0.15508333333333332"/>
    <x v="4"/>
    <x v="0"/>
  </r>
  <r>
    <x v="5"/>
    <x v="5"/>
    <x v="1"/>
    <n v="4.5"/>
    <n v="1"/>
    <s v="price per drink"/>
    <n v="0.67"/>
    <n v="0.67"/>
    <x v="5"/>
    <x v="0"/>
  </r>
  <r>
    <x v="6"/>
    <x v="6"/>
    <x v="1"/>
    <n v="4.25"/>
    <n v="1"/>
    <s v="price per drink"/>
    <n v="0.58200000000000007"/>
    <n v="0.58200000000000007"/>
    <x v="6"/>
    <x v="0"/>
  </r>
  <r>
    <x v="7"/>
    <x v="7"/>
    <x v="1"/>
    <n v="3"/>
    <n v="1"/>
    <s v="price per drink, includes ice"/>
    <n v="0.155"/>
    <n v="0.155"/>
    <x v="7"/>
    <x v="0"/>
  </r>
  <r>
    <x v="8"/>
    <x v="8"/>
    <x v="1"/>
    <n v="3.75"/>
    <n v="12"/>
    <s v="price per muffin, batch of 12"/>
    <n v="4.4649999999999999"/>
    <n v="0.37208333333333332"/>
    <x v="8"/>
    <x v="0"/>
  </r>
  <r>
    <x v="9"/>
    <x v="9"/>
    <x v="2"/>
    <n v="8"/>
    <n v="50"/>
    <s v="price per serving, tray serves 50"/>
    <n v="44.230000000000004"/>
    <n v="0.88460000000000005"/>
    <x v="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REC001"/>
    <s v="Chocolate Chip Cookies"/>
    <s v="ING001"/>
    <s v="All-Purpose Flour"/>
    <s v="g"/>
    <n v="280"/>
    <x v="0"/>
    <x v="0"/>
  </r>
  <r>
    <s v="REC001"/>
    <s v="Chocolate Chip Cookies"/>
    <s v="ING002"/>
    <s v="Granulated Sugar"/>
    <s v="g"/>
    <n v="150"/>
    <x v="1"/>
    <x v="0"/>
  </r>
  <r>
    <s v="REC001"/>
    <s v="Chocolate Chip Cookies"/>
    <s v="ING006"/>
    <s v="Brown Sugar"/>
    <s v="g"/>
    <n v="150"/>
    <x v="2"/>
    <x v="0"/>
  </r>
  <r>
    <s v="REC001"/>
    <s v="Chocolate Chip Cookies"/>
    <s v="ING003"/>
    <s v="Unsalted Butter"/>
    <s v="g"/>
    <n v="225"/>
    <x v="3"/>
    <x v="1"/>
  </r>
  <r>
    <s v="REC001"/>
    <s v="Chocolate Chip Cookies"/>
    <s v="ING004"/>
    <s v="Large Eggs"/>
    <s v="ea"/>
    <n v="2"/>
    <x v="4"/>
    <x v="1"/>
  </r>
  <r>
    <s v="REC001"/>
    <s v="Chocolate Chip Cookies"/>
    <s v="ING007"/>
    <s v="Vanilla Extract"/>
    <s v="ml"/>
    <n v="5"/>
    <x v="5"/>
    <x v="0"/>
  </r>
  <r>
    <s v="REC001"/>
    <s v="Chocolate Chip Cookies"/>
    <s v="ING008"/>
    <s v="Baking Soda"/>
    <s v="g"/>
    <n v="5"/>
    <x v="6"/>
    <x v="0"/>
  </r>
  <r>
    <s v="REC001"/>
    <s v="Chocolate Chip Cookies"/>
    <s v="ING009"/>
    <s v="Salt"/>
    <s v="g"/>
    <n v="3"/>
    <x v="7"/>
    <x v="0"/>
  </r>
  <r>
    <s v="REC001"/>
    <s v="Chocolate Chip Cookies"/>
    <s v="ING005"/>
    <s v="Chocolate Chips"/>
    <s v="g"/>
    <n v="300"/>
    <x v="8"/>
    <x v="0"/>
  </r>
  <r>
    <s v="REC002"/>
    <s v="Lemon Bars"/>
    <s v="ING001"/>
    <s v="All-Purpose Flour"/>
    <s v="g"/>
    <n v="250"/>
    <x v="9"/>
    <x v="0"/>
  </r>
  <r>
    <s v="REC002"/>
    <s v="Lemon Bars"/>
    <s v="ING011"/>
    <s v="Powdered Sugar"/>
    <s v="g"/>
    <n v="200"/>
    <x v="4"/>
    <x v="0"/>
  </r>
  <r>
    <s v="REC002"/>
    <s v="Lemon Bars"/>
    <s v="ING003"/>
    <s v="Unsalted Butter"/>
    <s v="g"/>
    <n v="225"/>
    <x v="3"/>
    <x v="1"/>
  </r>
  <r>
    <s v="REC002"/>
    <s v="Lemon Bars"/>
    <s v="ING004"/>
    <s v="Large Eggs"/>
    <s v="ea"/>
    <n v="4"/>
    <x v="10"/>
    <x v="1"/>
  </r>
  <r>
    <s v="REC002"/>
    <s v="Lemon Bars"/>
    <s v="ING002"/>
    <s v="Granulated Sugar"/>
    <s v="g"/>
    <n v="300"/>
    <x v="11"/>
    <x v="0"/>
  </r>
  <r>
    <s v="REC002"/>
    <s v="Lemon Bars"/>
    <s v="ING010"/>
    <s v="Lemons"/>
    <s v="ea"/>
    <n v="4"/>
    <x v="12"/>
    <x v="2"/>
  </r>
  <r>
    <s v="REC002"/>
    <s v="Lemon Bars"/>
    <s v="ING009"/>
    <s v="Salt"/>
    <s v="g"/>
    <n v="2"/>
    <x v="13"/>
    <x v="0"/>
  </r>
  <r>
    <s v="REC003"/>
    <s v="Fudge Brownies"/>
    <s v="ING001"/>
    <s v="All-Purpose Flour"/>
    <s v="g"/>
    <n v="150"/>
    <x v="14"/>
    <x v="0"/>
  </r>
  <r>
    <s v="REC003"/>
    <s v="Fudge Brownies"/>
    <s v="ING002"/>
    <s v="Granulated Sugar"/>
    <s v="g"/>
    <n v="300"/>
    <x v="11"/>
    <x v="0"/>
  </r>
  <r>
    <s v="REC003"/>
    <s v="Fudge Brownies"/>
    <s v="ING003"/>
    <s v="Unsalted Butter"/>
    <s v="g"/>
    <n v="225"/>
    <x v="3"/>
    <x v="1"/>
  </r>
  <r>
    <s v="REC003"/>
    <s v="Fudge Brownies"/>
    <s v="ING004"/>
    <s v="Large Eggs"/>
    <s v="ea"/>
    <n v="4"/>
    <x v="10"/>
    <x v="1"/>
  </r>
  <r>
    <s v="REC003"/>
    <s v="Fudge Brownies"/>
    <s v="ING012"/>
    <s v="Cocoa Powder"/>
    <s v="g"/>
    <n v="80"/>
    <x v="15"/>
    <x v="0"/>
  </r>
  <r>
    <s v="REC003"/>
    <s v="Fudge Brownies"/>
    <s v="ING007"/>
    <s v="Vanilla Extract"/>
    <s v="ml"/>
    <n v="5"/>
    <x v="5"/>
    <x v="0"/>
  </r>
  <r>
    <s v="REC003"/>
    <s v="Fudge Brownies"/>
    <s v="ING009"/>
    <s v="Salt"/>
    <s v="g"/>
    <n v="2"/>
    <x v="13"/>
    <x v="0"/>
  </r>
  <r>
    <s v="REC003"/>
    <s v="Fudge Brownies"/>
    <s v="ING005"/>
    <s v="Chocolate Chips"/>
    <s v="g"/>
    <n v="100"/>
    <x v="10"/>
    <x v="0"/>
  </r>
  <r>
    <s v="REC004"/>
    <s v="Banana Bread"/>
    <s v="ING001"/>
    <s v="All-Purpose Flour"/>
    <s v="g"/>
    <n v="250"/>
    <x v="9"/>
    <x v="0"/>
  </r>
  <r>
    <s v="REC004"/>
    <s v="Banana Bread"/>
    <s v="ING002"/>
    <s v="Granulated Sugar"/>
    <s v="g"/>
    <n v="150"/>
    <x v="1"/>
    <x v="0"/>
  </r>
  <r>
    <s v="REC004"/>
    <s v="Banana Bread"/>
    <s v="ING003"/>
    <s v="Unsalted Butter"/>
    <s v="g"/>
    <n v="115"/>
    <x v="16"/>
    <x v="1"/>
  </r>
  <r>
    <s v="REC004"/>
    <s v="Banana Bread"/>
    <s v="ING004"/>
    <s v="Large Eggs"/>
    <s v="ea"/>
    <n v="2"/>
    <x v="4"/>
    <x v="1"/>
  </r>
  <r>
    <s v="REC004"/>
    <s v="Banana Bread"/>
    <s v="ING013"/>
    <s v="Bananas"/>
    <s v="ea"/>
    <n v="3"/>
    <x v="17"/>
    <x v="2"/>
  </r>
  <r>
    <s v="REC004"/>
    <s v="Banana Bread"/>
    <s v="ING008"/>
    <s v="Baking Soda"/>
    <s v="g"/>
    <n v="5"/>
    <x v="6"/>
    <x v="0"/>
  </r>
  <r>
    <s v="REC004"/>
    <s v="Banana Bread"/>
    <s v="ING009"/>
    <s v="Salt"/>
    <s v="g"/>
    <n v="2"/>
    <x v="13"/>
    <x v="0"/>
  </r>
  <r>
    <s v="REC005"/>
    <s v="Sugar Cookies"/>
    <s v="ING001"/>
    <s v="All-Purpose Flour"/>
    <s v="g"/>
    <n v="300"/>
    <x v="18"/>
    <x v="0"/>
  </r>
  <r>
    <s v="REC005"/>
    <s v="Sugar Cookies"/>
    <s v="ING002"/>
    <s v="Granulated Sugar"/>
    <s v="g"/>
    <n v="200"/>
    <x v="19"/>
    <x v="0"/>
  </r>
  <r>
    <s v="REC005"/>
    <s v="Sugar Cookies"/>
    <s v="ING003"/>
    <s v="Unsalted Butter"/>
    <s v="g"/>
    <n v="225"/>
    <x v="3"/>
    <x v="1"/>
  </r>
  <r>
    <s v="REC005"/>
    <s v="Sugar Cookies"/>
    <s v="ING004"/>
    <s v="Large Eggs"/>
    <s v="ea"/>
    <n v="1"/>
    <x v="2"/>
    <x v="1"/>
  </r>
  <r>
    <s v="REC005"/>
    <s v="Sugar Cookies"/>
    <s v="ING007"/>
    <s v="Vanilla Extract"/>
    <s v="ml"/>
    <n v="5"/>
    <x v="5"/>
    <x v="0"/>
  </r>
  <r>
    <s v="REC005"/>
    <s v="Sugar Cookies"/>
    <s v="ING018"/>
    <s v="Baking Powder"/>
    <s v="g"/>
    <n v="5"/>
    <x v="20"/>
    <x v="0"/>
  </r>
  <r>
    <s v="REC005"/>
    <s v="Sugar Cookies"/>
    <s v="ING009"/>
    <s v="Salt"/>
    <s v="g"/>
    <n v="2"/>
    <x v="13"/>
    <x v="0"/>
  </r>
  <r>
    <s v="REC006"/>
    <s v="Latte"/>
    <s v="ING015"/>
    <s v="Espresso Beans"/>
    <s v="g"/>
    <n v="18"/>
    <x v="21"/>
    <x v="0"/>
  </r>
  <r>
    <s v="REC006"/>
    <s v="Latte"/>
    <s v="ING014"/>
    <s v="Milk"/>
    <s v="ml"/>
    <n v="200"/>
    <x v="22"/>
    <x v="1"/>
  </r>
  <r>
    <s v="REC007"/>
    <s v="Cappuccino"/>
    <s v="ING015"/>
    <s v="Espresso Beans"/>
    <s v="g"/>
    <n v="18"/>
    <x v="21"/>
    <x v="0"/>
  </r>
  <r>
    <s v="REC007"/>
    <s v="Cappuccino"/>
    <s v="ING014"/>
    <s v="Milk"/>
    <s v="ml"/>
    <n v="120"/>
    <x v="23"/>
    <x v="1"/>
  </r>
  <r>
    <s v="REC008"/>
    <s v="Iced Tea"/>
    <s v="ING016"/>
    <s v="Black Tea Bags"/>
    <s v="ea"/>
    <n v="1"/>
    <x v="24"/>
    <x v="0"/>
  </r>
  <r>
    <s v="REC008"/>
    <s v="Iced Tea"/>
    <s v="ING020"/>
    <s v="Water"/>
    <s v="ml"/>
    <n v="350"/>
    <x v="25"/>
    <x v="3"/>
  </r>
  <r>
    <s v="REC008"/>
    <s v="Iced Tea"/>
    <s v="ING021"/>
    <s v="Ice"/>
    <s v="g"/>
    <n v="100"/>
    <x v="20"/>
    <x v="3"/>
  </r>
  <r>
    <s v="REC009"/>
    <s v="Blueberry Muffin"/>
    <s v="ING001"/>
    <s v="All-Purpose Flour"/>
    <s v="g"/>
    <n v="300"/>
    <x v="18"/>
    <x v="0"/>
  </r>
  <r>
    <s v="REC009"/>
    <s v="Blueberry Muffin"/>
    <s v="ING002"/>
    <s v="Granulated Sugar"/>
    <s v="g"/>
    <n v="200"/>
    <x v="19"/>
    <x v="0"/>
  </r>
  <r>
    <s v="REC009"/>
    <s v="Blueberry Muffin"/>
    <s v="ING003"/>
    <s v="Unsalted Butter"/>
    <s v="g"/>
    <n v="115"/>
    <x v="16"/>
    <x v="1"/>
  </r>
  <r>
    <s v="REC009"/>
    <s v="Blueberry Muffin"/>
    <s v="ING004"/>
    <s v="Large Eggs"/>
    <s v="ea"/>
    <n v="2"/>
    <x v="4"/>
    <x v="1"/>
  </r>
  <r>
    <s v="REC009"/>
    <s v="Blueberry Muffin"/>
    <s v="ING014"/>
    <s v="Milk"/>
    <s v="ml"/>
    <n v="180"/>
    <x v="26"/>
    <x v="1"/>
  </r>
  <r>
    <s v="REC009"/>
    <s v="Blueberry Muffin"/>
    <s v="ING018"/>
    <s v="Baking Powder"/>
    <s v="g"/>
    <n v="8"/>
    <x v="27"/>
    <x v="0"/>
  </r>
  <r>
    <s v="REC009"/>
    <s v="Blueberry Muffin"/>
    <s v="ING009"/>
    <s v="Salt"/>
    <s v="g"/>
    <n v="3"/>
    <x v="7"/>
    <x v="0"/>
  </r>
  <r>
    <s v="REC009"/>
    <s v="Blueberry Muffin"/>
    <s v="ING017"/>
    <s v="Blueberries"/>
    <s v="g"/>
    <n v="200"/>
    <x v="28"/>
    <x v="2"/>
  </r>
  <r>
    <s v="REC010"/>
    <s v="Chicken Tex-Mex Tray"/>
    <s v="ING019"/>
    <s v="Chicken Breast"/>
    <s v="g"/>
    <n v="5000"/>
    <x v="29"/>
    <x v="4"/>
  </r>
  <r>
    <s v="REC010"/>
    <s v="Chicken Tex-Mex Tray"/>
    <s v="ING020"/>
    <s v="Water"/>
    <s v="ml"/>
    <n v="2000"/>
    <x v="30"/>
    <x v="3"/>
  </r>
  <r>
    <s v="REC010"/>
    <s v="Chicken Tex-Mex Tray"/>
    <s v="ING009"/>
    <s v="Salt"/>
    <s v="g"/>
    <n v="30"/>
    <x v="31"/>
    <x v="0"/>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r>
    <m/>
    <s v=""/>
    <m/>
    <s v=""/>
    <s v=""/>
    <m/>
    <x v="3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6D23A-C7B1-4C4A-A58A-307457922C1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showAll="0">
      <items count="11">
        <item x="0"/>
        <item x="1"/>
        <item x="2"/>
        <item x="3"/>
        <item x="4"/>
        <item x="5"/>
        <item x="6"/>
        <item x="7"/>
        <item x="8"/>
        <item x="9"/>
        <item t="default"/>
      </items>
    </pivotField>
    <pivotField axis="axisRow" showAll="0" sortType="descending">
      <items count="11">
        <item x="3"/>
        <item x="8"/>
        <item x="6"/>
        <item x="9"/>
        <item x="0"/>
        <item x="2"/>
        <item x="7"/>
        <item x="5"/>
        <item x="1"/>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4" showAll="0"/>
    <pivotField numFmtId="164" showAll="0"/>
    <pivotField dataField="1" numFmtId="166" showAll="0">
      <items count="11">
        <item x="1"/>
        <item x="5"/>
        <item x="6"/>
        <item x="0"/>
        <item x="2"/>
        <item x="9"/>
        <item x="3"/>
        <item x="8"/>
        <item x="4"/>
        <item x="7"/>
        <item t="default"/>
      </items>
    </pivotField>
    <pivotField showAll="0"/>
  </pivotFields>
  <rowFields count="1">
    <field x="1"/>
  </rowFields>
  <rowItems count="11">
    <i>
      <x v="6"/>
    </i>
    <i>
      <x v="9"/>
    </i>
    <i>
      <x v="1"/>
    </i>
    <i>
      <x/>
    </i>
    <i>
      <x v="3"/>
    </i>
    <i>
      <x v="5"/>
    </i>
    <i>
      <x v="4"/>
    </i>
    <i>
      <x v="2"/>
    </i>
    <i>
      <x v="7"/>
    </i>
    <i>
      <x v="8"/>
    </i>
    <i t="grand">
      <x/>
    </i>
  </rowItems>
  <colItems count="1">
    <i/>
  </colItems>
  <dataFields count="1">
    <dataField name="Average of Margin_%"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FCEA4A-C794-CD41-A930-55200CC49D9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numFmtId="164" showAll="0"/>
    <pivotField numFmtId="164" showAll="0"/>
    <pivotField dataField="1" numFmtId="166" showAll="0"/>
    <pivotField showAll="0"/>
  </pivotFields>
  <rowFields count="1">
    <field x="2"/>
  </rowFields>
  <rowItems count="4">
    <i>
      <x v="1"/>
    </i>
    <i>
      <x/>
    </i>
    <i>
      <x v="2"/>
    </i>
    <i t="grand">
      <x/>
    </i>
  </rowItems>
  <colItems count="1">
    <i/>
  </colItems>
  <dataFields count="1">
    <dataField name="Average of Margin_%"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64529-8763-4C4E-BB44-BE41B95D5F93}"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10">
    <pivotField showAll="0"/>
    <pivotField axis="axisRow" showAll="0">
      <items count="11">
        <item x="3"/>
        <item x="8"/>
        <item x="6"/>
        <item x="9"/>
        <item x="0"/>
        <item x="2"/>
        <item x="7"/>
        <item x="5"/>
        <item x="1"/>
        <item x="4"/>
        <item t="default"/>
      </items>
    </pivotField>
    <pivotField showAll="0"/>
    <pivotField numFmtId="165" showAll="0"/>
    <pivotField showAll="0"/>
    <pivotField showAll="0"/>
    <pivotField numFmtId="164" showAll="0"/>
    <pivotField numFmtId="164" showAll="0"/>
    <pivotField dataField="1" numFmtId="166" showAll="0"/>
    <pivotField axis="axisPage" multipleItemSelectionAllowed="1" showAll="0">
      <items count="3">
        <item x="1"/>
        <item h="1" x="0"/>
        <item t="default"/>
      </items>
    </pivotField>
  </pivotFields>
  <rowFields count="1">
    <field x="1"/>
  </rowFields>
  <rowItems count="2">
    <i>
      <x v="8"/>
    </i>
    <i t="grand">
      <x/>
    </i>
  </rowItems>
  <colItems count="1">
    <i/>
  </colItems>
  <pageFields count="1">
    <pageField fld="9" hier="-1"/>
  </pageFields>
  <dataFields count="1">
    <dataField name="Average of Margin_%"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F3FF5-5356-F44F-8567-EAB3B6446167}"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showAll="0"/>
    <pivotField showAll="0"/>
    <pivotField showAll="0"/>
    <pivotField showAll="0"/>
    <pivotField showAll="0"/>
    <pivotField dataField="1" showAll="0">
      <items count="34">
        <item x="13"/>
        <item x="7"/>
        <item x="6"/>
        <item x="20"/>
        <item x="31"/>
        <item x="27"/>
        <item x="25"/>
        <item x="24"/>
        <item x="23"/>
        <item x="26"/>
        <item x="30"/>
        <item x="22"/>
        <item x="1"/>
        <item x="2"/>
        <item x="14"/>
        <item x="19"/>
        <item x="5"/>
        <item x="21"/>
        <item x="11"/>
        <item x="9"/>
        <item x="4"/>
        <item x="0"/>
        <item x="18"/>
        <item x="17"/>
        <item x="15"/>
        <item x="16"/>
        <item x="10"/>
        <item x="28"/>
        <item x="3"/>
        <item x="12"/>
        <item x="8"/>
        <item x="29"/>
        <item x="32"/>
        <item t="default"/>
      </items>
    </pivotField>
    <pivotField axis="axisRow" showAll="0" sortType="descending">
      <items count="7">
        <item x="1"/>
        <item x="0"/>
        <item x="3"/>
        <item x="2"/>
        <item x="4"/>
        <item x="5"/>
        <item t="default"/>
      </items>
      <autoSortScope>
        <pivotArea dataOnly="0" outline="0" fieldPosition="0">
          <references count="1">
            <reference field="4294967294" count="1" selected="0">
              <x v="0"/>
            </reference>
          </references>
        </pivotArea>
      </autoSortScope>
    </pivotField>
  </pivotFields>
  <rowFields count="1">
    <field x="7"/>
  </rowFields>
  <rowItems count="7">
    <i>
      <x v="4"/>
    </i>
    <i>
      <x/>
    </i>
    <i>
      <x v="1"/>
    </i>
    <i>
      <x v="3"/>
    </i>
    <i>
      <x v="2"/>
    </i>
    <i>
      <x v="5"/>
    </i>
    <i t="grand">
      <x/>
    </i>
  </rowItems>
  <colItems count="1">
    <i/>
  </colItems>
  <dataFields count="1">
    <dataField name="Sum of Line_Cost" fld="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Flag" xr10:uid="{F69A4FBF-95D1-F148-BF3A-974A8EDC5B0E}" sourceName="Risk_Flag">
  <pivotTables>
    <pivotTable tabId="9" name="PivotTable5"/>
  </pivotTables>
  <data>
    <tabular pivotCacheId="1719145750">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Flag" xr10:uid="{0BC50080-858C-AC47-A2E4-F5D6D73D36B3}" cache="Slicer_Risk_Flag" caption="Risk_Flag"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426766-E8B8-8543-9508-DAEE49E1DF40}" name="tbl_Ingredients" displayName="tbl_Ingredients" ref="A1:F22" totalsRowShown="0" headerRowDxfId="24" dataDxfId="25" headerRowBorderDxfId="33" tableBorderDxfId="34" totalsRowBorderDxfId="32">
  <autoFilter ref="A1:F22" xr:uid="{BF426766-E8B8-8543-9508-DAEE49E1DF40}"/>
  <tableColumns count="6">
    <tableColumn id="1" xr3:uid="{B3863C05-ED88-3E42-B6C6-786B77F9150D}" name="Ingredient_ID" dataDxfId="31"/>
    <tableColumn id="2" xr3:uid="{0001D005-C9F6-E648-A740-5F1D2FCF4D66}" name="Ingredient_Name" dataDxfId="30"/>
    <tableColumn id="3" xr3:uid="{21535FC9-89BF-3847-922C-D70814043CAF}" name="Unit" dataDxfId="29"/>
    <tableColumn id="4" xr3:uid="{3EEBA73A-B1E3-384F-891C-52C7652D0009}" name="Cost_Per_Unit" dataDxfId="28"/>
    <tableColumn id="5" xr3:uid="{2B668892-595D-574D-BF9E-2FA981194B79}" name="Primary_Vendor" dataDxfId="27"/>
    <tableColumn id="6" xr3:uid="{5DEB4626-15FC-8A41-92B5-23DF6FD1A4D5}" name="Category"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EC2ADF-6F58-4545-83D3-2CC86F4F4020}" name="tbl_Recipes" displayName="tbl_Recipes" ref="A1:J11" totalsRowShown="0" headerRowDxfId="10" headerRowBorderDxfId="22" tableBorderDxfId="23" totalsRowBorderDxfId="21">
  <autoFilter ref="A1:J11" xr:uid="{7AEC2ADF-6F58-4545-83D3-2CC86F4F4020}"/>
  <tableColumns count="10">
    <tableColumn id="1" xr3:uid="{FEF085FB-8B8F-AF45-BB9A-AD0838D0B151}" name="Recipe_ID" dataDxfId="20"/>
    <tableColumn id="2" xr3:uid="{5126E363-ECB5-3C44-A0D8-D8C60F2DB213}" name="Recipe_Name" dataDxfId="19"/>
    <tableColumn id="3" xr3:uid="{FC55D109-330B-4840-B4D9-149FA8F5BD72}" name="Persona_Type" dataDxfId="18"/>
    <tableColumn id="4" xr3:uid="{8FFF5174-7CF6-6A45-9004-BBA5D5BB3DF6}" name="Selling_Price" dataDxfId="17"/>
    <tableColumn id="5" xr3:uid="{B7C47D8C-3E30-F740-99EE-A7BE8B36DFCE}" name="Yield" dataDxfId="16"/>
    <tableColumn id="6" xr3:uid="{4624A8C9-30F9-9B4B-AFD2-FEC31B8A9BB9}" name="Notes" dataDxfId="15"/>
    <tableColumn id="7" xr3:uid="{A907BFF6-7780-A34B-ADC9-EA8A04116BF0}" name="Total_Batch_Cost" dataDxfId="14">
      <calculatedColumnFormula>SUMIF(Recipe_Ingredients!$A$2:$A$1000,A2,Recipe_Ingredients!$G$2:$G$1000)</calculatedColumnFormula>
    </tableColumn>
    <tableColumn id="8" xr3:uid="{47E073FF-B09F-6D47-B8AD-4DF1B2591938}" name="Cost_Per_Unit_Sold" dataDxfId="13">
      <calculatedColumnFormula>G2/E2</calculatedColumnFormula>
    </tableColumn>
    <tableColumn id="9" xr3:uid="{D7F66151-108E-7047-91AD-1CE815D0C0F1}" name="Margin_%" dataDxfId="12">
      <calculatedColumnFormula>(D2-H2)/D2</calculatedColumnFormula>
    </tableColumn>
    <tableColumn id="10" xr3:uid="{CA36D917-0649-E44E-9BC8-47C50421E024}" name="Risk_Flag" dataDxfId="11">
      <calculatedColumnFormula>IF(I2&lt;IF(C2="Mai",0.2,0.1),"AT RISK","OK")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E239CA-CD5B-D445-8448-B722E735671F}" name="tbl_RI" displayName="tbl_RI" ref="A1:H77" totalsRowShown="0" headerRowDxfId="3" headerRowBorderDxfId="8" tableBorderDxfId="9">
  <autoFilter ref="A1:H77" xr:uid="{D7E239CA-CD5B-D445-8448-B722E735671F}"/>
  <tableColumns count="8">
    <tableColumn id="1" xr3:uid="{15F5FA80-CA12-6348-825E-D045E77B50F1}" name="Recipe_ID"/>
    <tableColumn id="2" xr3:uid="{A3EFC7A8-A457-AA44-A4A3-7146478E68A2}" name="Recipe_Name" dataDxfId="7">
      <calculatedColumnFormula>IF(A2="","",VLOOKUP(A2,Recipes!$A$2:$B$11,2,FALSE()))</calculatedColumnFormula>
    </tableColumn>
    <tableColumn id="3" xr3:uid="{2D375EA5-65F2-7C4E-A19E-61628C07E8E2}" name="Ingredient_ID"/>
    <tableColumn id="4" xr3:uid="{5789E800-3388-704B-9DD7-9959C2D7346E}" name="Ingredient_Name" dataDxfId="6">
      <calculatedColumnFormula>IF(C2="","",VLOOKUP(C2,Ingredients!$A$2:$F$22,2,FALSE()))</calculatedColumnFormula>
    </tableColumn>
    <tableColumn id="5" xr3:uid="{5F217FB6-4EDE-1C46-8F98-E4AD2E75FE17}" name="Unit" dataDxfId="5">
      <calculatedColumnFormula>IF(C2="","",VLOOKUP(C2,Ingredients!$A$2:$F$22,3,FALSE()))</calculatedColumnFormula>
    </tableColumn>
    <tableColumn id="6" xr3:uid="{BBF8D5C6-B795-D247-862F-C2C978BB0079}" name="Quantity_Used"/>
    <tableColumn id="7" xr3:uid="{FDFED737-D5A8-5543-A947-95726F322E11}" name="Line_Cost" dataDxfId="4">
      <calculatedColumnFormula>IF(OR(C2="",F2=""),"",F2*VLOOKUP(C2,Ingredients!$A$2:$F$22,4,FALSE()))</calculatedColumnFormula>
    </tableColumn>
    <tableColumn id="8" xr3:uid="{9E9A1D0E-7DCE-3841-A4F4-844B8EF24E97}" name="Categories" dataDxfId="0">
      <calculatedColumnFormula>INDEX(Ingredients!F:F,MATCH(C2,Ingredients!A:A))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showGridLines="0" topLeftCell="A13" zoomScale="189" zoomScaleNormal="100" workbookViewId="0"/>
  </sheetViews>
  <sheetFormatPr baseColWidth="10" defaultColWidth="8.6640625" defaultRowHeight="15" x14ac:dyDescent="0.2"/>
  <cols>
    <col min="1" max="1" width="95" customWidth="1"/>
  </cols>
  <sheetData>
    <row r="1" spans="1:1" ht="17" x14ac:dyDescent="0.2">
      <c r="A1" s="1" t="s">
        <v>0</v>
      </c>
    </row>
    <row r="2" spans="1:1" x14ac:dyDescent="0.2">
      <c r="A2" s="2"/>
    </row>
    <row r="3" spans="1:1" x14ac:dyDescent="0.2">
      <c r="A3" s="3" t="s">
        <v>1</v>
      </c>
    </row>
    <row r="4" spans="1:1" x14ac:dyDescent="0.2">
      <c r="A4" s="2" t="s">
        <v>2</v>
      </c>
    </row>
    <row r="5" spans="1:1" x14ac:dyDescent="0.2">
      <c r="A5" s="2" t="s">
        <v>3</v>
      </c>
    </row>
    <row r="6" spans="1:1" x14ac:dyDescent="0.2">
      <c r="A6" s="2" t="s">
        <v>4</v>
      </c>
    </row>
    <row r="7" spans="1:1" x14ac:dyDescent="0.2">
      <c r="A7" s="2"/>
    </row>
    <row r="8" spans="1:1" x14ac:dyDescent="0.2">
      <c r="A8" s="3" t="s">
        <v>5</v>
      </c>
    </row>
    <row r="9" spans="1:1" x14ac:dyDescent="0.2">
      <c r="A9" s="2" t="s">
        <v>6</v>
      </c>
    </row>
    <row r="10" spans="1:1" x14ac:dyDescent="0.2">
      <c r="A10" s="2" t="s">
        <v>7</v>
      </c>
    </row>
    <row r="11" spans="1:1" x14ac:dyDescent="0.2">
      <c r="A11" s="2" t="s">
        <v>8</v>
      </c>
    </row>
    <row r="12" spans="1:1" x14ac:dyDescent="0.2">
      <c r="A12" s="2" t="s">
        <v>9</v>
      </c>
    </row>
    <row r="13" spans="1:1" x14ac:dyDescent="0.2">
      <c r="A13" s="2"/>
    </row>
    <row r="14" spans="1:1" x14ac:dyDescent="0.2">
      <c r="A14" s="3" t="s">
        <v>10</v>
      </c>
    </row>
    <row r="15" spans="1:1" x14ac:dyDescent="0.2">
      <c r="A15" s="2" t="s">
        <v>11</v>
      </c>
    </row>
    <row r="16" spans="1:1" x14ac:dyDescent="0.2">
      <c r="A16" s="2" t="s">
        <v>12</v>
      </c>
    </row>
    <row r="17" spans="1:1" x14ac:dyDescent="0.2">
      <c r="A17" s="2" t="s">
        <v>13</v>
      </c>
    </row>
    <row r="18" spans="1:1" x14ac:dyDescent="0.2">
      <c r="A18" s="2" t="s">
        <v>14</v>
      </c>
    </row>
    <row r="19" spans="1:1" x14ac:dyDescent="0.2">
      <c r="A19" s="2"/>
    </row>
    <row r="20" spans="1:1" x14ac:dyDescent="0.2">
      <c r="A20" s="3" t="s">
        <v>15</v>
      </c>
    </row>
    <row r="21" spans="1:1" x14ac:dyDescent="0.2">
      <c r="A21" s="2" t="s">
        <v>16</v>
      </c>
    </row>
    <row r="22" spans="1:1" x14ac:dyDescent="0.2">
      <c r="A22"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zoomScaleNormal="100" workbookViewId="0">
      <pane ySplit="1" topLeftCell="A2" activePane="bottomLeft" state="frozen"/>
      <selection pane="bottomLeft" activeCell="F2" sqref="F2"/>
    </sheetView>
  </sheetViews>
  <sheetFormatPr baseColWidth="10" defaultColWidth="8.6640625" defaultRowHeight="15" x14ac:dyDescent="0.2"/>
  <cols>
    <col min="1" max="1" width="14.1640625" customWidth="1"/>
    <col min="2" max="2" width="22" customWidth="1"/>
    <col min="3" max="3" width="8" customWidth="1"/>
    <col min="4" max="4" width="16" customWidth="1"/>
    <col min="5" max="5" width="18" customWidth="1"/>
    <col min="6" max="6" width="16" customWidth="1"/>
  </cols>
  <sheetData>
    <row r="1" spans="1:6" ht="31.5" customHeight="1" x14ac:dyDescent="0.2">
      <c r="A1" s="16" t="s">
        <v>18</v>
      </c>
      <c r="B1" s="17" t="s">
        <v>19</v>
      </c>
      <c r="C1" s="17" t="s">
        <v>20</v>
      </c>
      <c r="D1" s="17" t="s">
        <v>21</v>
      </c>
      <c r="E1" s="17" t="s">
        <v>22</v>
      </c>
      <c r="F1" s="18" t="s">
        <v>23</v>
      </c>
    </row>
    <row r="2" spans="1:6" x14ac:dyDescent="0.2">
      <c r="A2" s="14" t="s">
        <v>24</v>
      </c>
      <c r="B2" s="4" t="s">
        <v>25</v>
      </c>
      <c r="C2" s="4" t="s">
        <v>26</v>
      </c>
      <c r="D2" s="5">
        <v>2.2000000000000001E-3</v>
      </c>
      <c r="E2" s="4" t="s">
        <v>27</v>
      </c>
      <c r="F2" s="15" t="s">
        <v>28</v>
      </c>
    </row>
    <row r="3" spans="1:6" x14ac:dyDescent="0.2">
      <c r="A3" s="14" t="s">
        <v>29</v>
      </c>
      <c r="B3" s="4" t="s">
        <v>30</v>
      </c>
      <c r="C3" s="4" t="s">
        <v>26</v>
      </c>
      <c r="D3" s="5">
        <v>1.8E-3</v>
      </c>
      <c r="E3" s="4" t="s">
        <v>27</v>
      </c>
      <c r="F3" s="15" t="s">
        <v>28</v>
      </c>
    </row>
    <row r="4" spans="1:6" x14ac:dyDescent="0.2">
      <c r="A4" s="14" t="s">
        <v>31</v>
      </c>
      <c r="B4" s="4" t="s">
        <v>32</v>
      </c>
      <c r="C4" s="4" t="s">
        <v>26</v>
      </c>
      <c r="D4" s="5">
        <v>8.8000000000000005E-3</v>
      </c>
      <c r="E4" s="4" t="s">
        <v>33</v>
      </c>
      <c r="F4" s="15" t="s">
        <v>34</v>
      </c>
    </row>
    <row r="5" spans="1:6" x14ac:dyDescent="0.2">
      <c r="A5" s="14" t="s">
        <v>35</v>
      </c>
      <c r="B5" s="4" t="s">
        <v>36</v>
      </c>
      <c r="C5" s="4" t="s">
        <v>37</v>
      </c>
      <c r="D5" s="5">
        <v>0.3</v>
      </c>
      <c r="E5" s="4" t="s">
        <v>33</v>
      </c>
      <c r="F5" s="15" t="s">
        <v>34</v>
      </c>
    </row>
    <row r="6" spans="1:6" x14ac:dyDescent="0.2">
      <c r="A6" s="14" t="s">
        <v>38</v>
      </c>
      <c r="B6" s="4" t="s">
        <v>39</v>
      </c>
      <c r="C6" s="4" t="s">
        <v>26</v>
      </c>
      <c r="D6" s="5">
        <v>1.2E-2</v>
      </c>
      <c r="E6" s="4" t="s">
        <v>27</v>
      </c>
      <c r="F6" s="15" t="s">
        <v>28</v>
      </c>
    </row>
    <row r="7" spans="1:6" x14ac:dyDescent="0.2">
      <c r="A7" s="14" t="s">
        <v>40</v>
      </c>
      <c r="B7" s="4" t="s">
        <v>41</v>
      </c>
      <c r="C7" s="4" t="s">
        <v>26</v>
      </c>
      <c r="D7" s="5">
        <v>2E-3</v>
      </c>
      <c r="E7" s="4" t="s">
        <v>27</v>
      </c>
      <c r="F7" s="15" t="s">
        <v>28</v>
      </c>
    </row>
    <row r="8" spans="1:6" x14ac:dyDescent="0.2">
      <c r="A8" s="14" t="s">
        <v>42</v>
      </c>
      <c r="B8" s="4" t="s">
        <v>43</v>
      </c>
      <c r="C8" s="4" t="s">
        <v>44</v>
      </c>
      <c r="D8" s="5">
        <v>0.08</v>
      </c>
      <c r="E8" s="4" t="s">
        <v>33</v>
      </c>
      <c r="F8" s="15" t="s">
        <v>28</v>
      </c>
    </row>
    <row r="9" spans="1:6" x14ac:dyDescent="0.2">
      <c r="A9" s="14" t="s">
        <v>45</v>
      </c>
      <c r="B9" s="4" t="s">
        <v>46</v>
      </c>
      <c r="C9" s="4" t="s">
        <v>26</v>
      </c>
      <c r="D9" s="5">
        <v>2E-3</v>
      </c>
      <c r="E9" s="4" t="s">
        <v>33</v>
      </c>
      <c r="F9" s="15" t="s">
        <v>28</v>
      </c>
    </row>
    <row r="10" spans="1:6" x14ac:dyDescent="0.2">
      <c r="A10" s="14" t="s">
        <v>47</v>
      </c>
      <c r="B10" s="4" t="s">
        <v>48</v>
      </c>
      <c r="C10" s="4" t="s">
        <v>26</v>
      </c>
      <c r="D10" s="5">
        <v>1E-3</v>
      </c>
      <c r="E10" s="4" t="s">
        <v>33</v>
      </c>
      <c r="F10" s="15" t="s">
        <v>28</v>
      </c>
    </row>
    <row r="11" spans="1:6" x14ac:dyDescent="0.2">
      <c r="A11" s="14" t="s">
        <v>49</v>
      </c>
      <c r="B11" s="4" t="s">
        <v>50</v>
      </c>
      <c r="C11" s="4" t="s">
        <v>37</v>
      </c>
      <c r="D11" s="5">
        <v>0.6</v>
      </c>
      <c r="E11" s="4" t="s">
        <v>33</v>
      </c>
      <c r="F11" s="15" t="s">
        <v>51</v>
      </c>
    </row>
    <row r="12" spans="1:6" x14ac:dyDescent="0.2">
      <c r="A12" s="14" t="s">
        <v>52</v>
      </c>
      <c r="B12" s="4" t="s">
        <v>53</v>
      </c>
      <c r="C12" s="4" t="s">
        <v>26</v>
      </c>
      <c r="D12" s="5">
        <v>3.0000000000000001E-3</v>
      </c>
      <c r="E12" s="4" t="s">
        <v>27</v>
      </c>
      <c r="F12" s="15" t="s">
        <v>28</v>
      </c>
    </row>
    <row r="13" spans="1:6" x14ac:dyDescent="0.2">
      <c r="A13" s="14" t="s">
        <v>54</v>
      </c>
      <c r="B13" s="4" t="s">
        <v>55</v>
      </c>
      <c r="C13" s="4" t="s">
        <v>26</v>
      </c>
      <c r="D13" s="5">
        <v>1.2E-2</v>
      </c>
      <c r="E13" s="4" t="s">
        <v>27</v>
      </c>
      <c r="F13" s="15" t="s">
        <v>28</v>
      </c>
    </row>
    <row r="14" spans="1:6" x14ac:dyDescent="0.2">
      <c r="A14" s="14" t="s">
        <v>56</v>
      </c>
      <c r="B14" s="4" t="s">
        <v>57</v>
      </c>
      <c r="C14" s="4" t="s">
        <v>37</v>
      </c>
      <c r="D14" s="5">
        <v>0.25</v>
      </c>
      <c r="E14" s="4" t="s">
        <v>33</v>
      </c>
      <c r="F14" s="15" t="s">
        <v>51</v>
      </c>
    </row>
    <row r="15" spans="1:6" x14ac:dyDescent="0.2">
      <c r="A15" s="14" t="s">
        <v>58</v>
      </c>
      <c r="B15" s="4" t="s">
        <v>59</v>
      </c>
      <c r="C15" s="4" t="s">
        <v>44</v>
      </c>
      <c r="D15" s="5">
        <v>1.1000000000000001E-3</v>
      </c>
      <c r="E15" s="4" t="s">
        <v>33</v>
      </c>
      <c r="F15" s="15" t="s">
        <v>34</v>
      </c>
    </row>
    <row r="16" spans="1:6" x14ac:dyDescent="0.2">
      <c r="A16" s="14" t="s">
        <v>60</v>
      </c>
      <c r="B16" s="4" t="s">
        <v>61</v>
      </c>
      <c r="C16" s="4" t="s">
        <v>26</v>
      </c>
      <c r="D16" s="5">
        <v>2.5000000000000001E-2</v>
      </c>
      <c r="E16" s="4" t="s">
        <v>62</v>
      </c>
      <c r="F16" s="15" t="s">
        <v>28</v>
      </c>
    </row>
    <row r="17" spans="1:6" x14ac:dyDescent="0.2">
      <c r="A17" s="14" t="s">
        <v>63</v>
      </c>
      <c r="B17" s="4" t="s">
        <v>64</v>
      </c>
      <c r="C17" s="4" t="s">
        <v>37</v>
      </c>
      <c r="D17" s="5">
        <v>0.1</v>
      </c>
      <c r="E17" s="4" t="s">
        <v>27</v>
      </c>
      <c r="F17" s="15" t="s">
        <v>28</v>
      </c>
    </row>
    <row r="18" spans="1:6" x14ac:dyDescent="0.2">
      <c r="A18" s="14" t="s">
        <v>65</v>
      </c>
      <c r="B18" s="4" t="s">
        <v>66</v>
      </c>
      <c r="C18" s="4" t="s">
        <v>26</v>
      </c>
      <c r="D18" s="5">
        <v>8.0000000000000002E-3</v>
      </c>
      <c r="E18" s="4" t="s">
        <v>33</v>
      </c>
      <c r="F18" s="15" t="s">
        <v>51</v>
      </c>
    </row>
    <row r="19" spans="1:6" x14ac:dyDescent="0.2">
      <c r="A19" s="14" t="s">
        <v>67</v>
      </c>
      <c r="B19" s="4" t="s">
        <v>68</v>
      </c>
      <c r="C19" s="4" t="s">
        <v>26</v>
      </c>
      <c r="D19" s="5">
        <v>4.0000000000000001E-3</v>
      </c>
      <c r="E19" s="4" t="s">
        <v>33</v>
      </c>
      <c r="F19" s="15" t="s">
        <v>28</v>
      </c>
    </row>
    <row r="20" spans="1:6" x14ac:dyDescent="0.2">
      <c r="A20" s="14" t="s">
        <v>69</v>
      </c>
      <c r="B20" s="4" t="s">
        <v>70</v>
      </c>
      <c r="C20" s="4" t="s">
        <v>26</v>
      </c>
      <c r="D20" s="5">
        <v>8.8000000000000005E-3</v>
      </c>
      <c r="E20" s="4" t="s">
        <v>71</v>
      </c>
      <c r="F20" s="15" t="s">
        <v>72</v>
      </c>
    </row>
    <row r="21" spans="1:6" x14ac:dyDescent="0.2">
      <c r="A21" s="14" t="s">
        <v>73</v>
      </c>
      <c r="B21" s="4" t="s">
        <v>74</v>
      </c>
      <c r="C21" s="4" t="s">
        <v>44</v>
      </c>
      <c r="D21" s="5">
        <v>1E-4</v>
      </c>
      <c r="E21" s="4" t="s">
        <v>75</v>
      </c>
      <c r="F21" s="15" t="s">
        <v>76</v>
      </c>
    </row>
    <row r="22" spans="1:6" x14ac:dyDescent="0.2">
      <c r="A22" s="19" t="s">
        <v>77</v>
      </c>
      <c r="B22" s="20" t="s">
        <v>78</v>
      </c>
      <c r="C22" s="20" t="s">
        <v>26</v>
      </c>
      <c r="D22" s="21">
        <v>2.0000000000000001E-4</v>
      </c>
      <c r="E22" s="20" t="s">
        <v>75</v>
      </c>
      <c r="F22" s="22" t="s">
        <v>76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0BC7-1616-D647-B214-7D6D54314BE3}">
  <dimension ref="A3:B14"/>
  <sheetViews>
    <sheetView workbookViewId="0">
      <selection activeCell="B3" sqref="B3"/>
    </sheetView>
  </sheetViews>
  <sheetFormatPr baseColWidth="10" defaultRowHeight="15" x14ac:dyDescent="0.2"/>
  <cols>
    <col min="1" max="1" width="19" bestFit="1" customWidth="1"/>
    <col min="2" max="2" width="17.5" bestFit="1" customWidth="1"/>
    <col min="3" max="3" width="14.33203125" bestFit="1" customWidth="1"/>
    <col min="4" max="4" width="10.1640625" bestFit="1" customWidth="1"/>
    <col min="5" max="5" width="18" bestFit="1" customWidth="1"/>
    <col min="6" max="6" width="19.33203125" bestFit="1" customWidth="1"/>
    <col min="7" max="7" width="13.33203125" bestFit="1" customWidth="1"/>
    <col min="8" max="8" width="7.5" bestFit="1" customWidth="1"/>
    <col min="9" max="9" width="5.1640625" bestFit="1" customWidth="1"/>
    <col min="10" max="10" width="10" bestFit="1" customWidth="1"/>
    <col min="11" max="11" width="11.6640625" bestFit="1" customWidth="1"/>
    <col min="12" max="12" width="10" bestFit="1" customWidth="1"/>
  </cols>
  <sheetData>
    <row r="3" spans="1:2" x14ac:dyDescent="0.2">
      <c r="A3" s="11" t="s">
        <v>122</v>
      </c>
      <c r="B3" t="s">
        <v>124</v>
      </c>
    </row>
    <row r="4" spans="1:2" x14ac:dyDescent="0.2">
      <c r="A4" s="12" t="s">
        <v>111</v>
      </c>
      <c r="B4" s="13">
        <v>0.94833333333333336</v>
      </c>
    </row>
    <row r="5" spans="1:2" x14ac:dyDescent="0.2">
      <c r="A5" s="12" t="s">
        <v>103</v>
      </c>
      <c r="B5" s="13">
        <v>0.92245833333333338</v>
      </c>
    </row>
    <row r="6" spans="1:2" x14ac:dyDescent="0.2">
      <c r="A6" s="12" t="s">
        <v>114</v>
      </c>
      <c r="B6" s="13">
        <v>0.90077777777777779</v>
      </c>
    </row>
    <row r="7" spans="1:2" x14ac:dyDescent="0.2">
      <c r="A7" s="12" t="s">
        <v>100</v>
      </c>
      <c r="B7" s="13">
        <v>0.90018750000000003</v>
      </c>
    </row>
    <row r="8" spans="1:2" x14ac:dyDescent="0.2">
      <c r="A8" s="12" t="s">
        <v>117</v>
      </c>
      <c r="B8" s="13">
        <v>0.88942500000000002</v>
      </c>
    </row>
    <row r="9" spans="1:2" x14ac:dyDescent="0.2">
      <c r="A9" s="12" t="s">
        <v>97</v>
      </c>
      <c r="B9" s="13">
        <v>0.8819285714285714</v>
      </c>
    </row>
    <row r="10" spans="1:2" x14ac:dyDescent="0.2">
      <c r="A10" s="12" t="s">
        <v>90</v>
      </c>
      <c r="B10" s="13">
        <v>0.87034999999999996</v>
      </c>
    </row>
    <row r="11" spans="1:2" x14ac:dyDescent="0.2">
      <c r="A11" s="12" t="s">
        <v>109</v>
      </c>
      <c r="B11" s="13">
        <v>0.86305882352941177</v>
      </c>
    </row>
    <row r="12" spans="1:2" x14ac:dyDescent="0.2">
      <c r="A12" s="12" t="s">
        <v>105</v>
      </c>
      <c r="B12" s="13">
        <v>0.85111111111111115</v>
      </c>
    </row>
    <row r="13" spans="1:2" x14ac:dyDescent="0.2">
      <c r="A13" s="12" t="s">
        <v>94</v>
      </c>
      <c r="B13" s="13">
        <v>9.1000000000000081E-2</v>
      </c>
    </row>
    <row r="14" spans="1:2" x14ac:dyDescent="0.2">
      <c r="A14" s="12" t="s">
        <v>123</v>
      </c>
      <c r="B14" s="13">
        <v>0.81186304505135387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2202-58D5-BA42-97BE-B1AA12A6C979}">
  <dimension ref="A3:B7"/>
  <sheetViews>
    <sheetView workbookViewId="0">
      <selection activeCell="A3" sqref="A3"/>
    </sheetView>
  </sheetViews>
  <sheetFormatPr baseColWidth="10" defaultRowHeight="15" x14ac:dyDescent="0.2"/>
  <cols>
    <col min="1" max="1" width="12.1640625" bestFit="1" customWidth="1"/>
    <col min="2" max="2" width="17.5" bestFit="1" customWidth="1"/>
  </cols>
  <sheetData>
    <row r="3" spans="1:2" x14ac:dyDescent="0.2">
      <c r="A3" s="11" t="s">
        <v>122</v>
      </c>
      <c r="B3" t="s">
        <v>124</v>
      </c>
    </row>
    <row r="4" spans="1:2" x14ac:dyDescent="0.2">
      <c r="A4" s="12" t="s">
        <v>106</v>
      </c>
      <c r="B4" s="13">
        <v>0.89082026143790849</v>
      </c>
    </row>
    <row r="5" spans="1:2" x14ac:dyDescent="0.2">
      <c r="A5" s="12" t="s">
        <v>118</v>
      </c>
      <c r="B5" s="13">
        <v>0.88942500000000002</v>
      </c>
    </row>
    <row r="6" spans="1:2" x14ac:dyDescent="0.2">
      <c r="A6" s="12" t="s">
        <v>91</v>
      </c>
      <c r="B6" s="13">
        <v>0.73318488095238088</v>
      </c>
    </row>
    <row r="7" spans="1:2" x14ac:dyDescent="0.2">
      <c r="A7" s="12" t="s">
        <v>123</v>
      </c>
      <c r="B7" s="13">
        <v>0.81186304505135387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2DC8-C996-694B-AEF2-051CE9BD81B6}">
  <dimension ref="A1:B5"/>
  <sheetViews>
    <sheetView workbookViewId="0">
      <selection activeCell="A3" sqref="A3"/>
    </sheetView>
  </sheetViews>
  <sheetFormatPr baseColWidth="10" defaultRowHeight="15" x14ac:dyDescent="0.2"/>
  <cols>
    <col min="1" max="1" width="12.1640625" bestFit="1" customWidth="1"/>
    <col min="2" max="2" width="17.5" bestFit="1" customWidth="1"/>
  </cols>
  <sheetData>
    <row r="1" spans="1:2" x14ac:dyDescent="0.2">
      <c r="A1" s="11" t="s">
        <v>88</v>
      </c>
      <c r="B1" t="s">
        <v>125</v>
      </c>
    </row>
    <row r="3" spans="1:2" x14ac:dyDescent="0.2">
      <c r="A3" s="11" t="s">
        <v>122</v>
      </c>
      <c r="B3" t="s">
        <v>124</v>
      </c>
    </row>
    <row r="4" spans="1:2" x14ac:dyDescent="0.2">
      <c r="A4" s="12" t="s">
        <v>94</v>
      </c>
      <c r="B4" s="13">
        <v>9.1000000000000081E-2</v>
      </c>
    </row>
    <row r="5" spans="1:2" x14ac:dyDescent="0.2">
      <c r="A5" s="12" t="s">
        <v>123</v>
      </c>
      <c r="B5" s="13">
        <v>9.1000000000000081E-2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zoomScale="116" zoomScaleNormal="100" workbookViewId="0">
      <pane ySplit="1" topLeftCell="A2" activePane="bottomLeft" state="frozen"/>
      <selection pane="bottomLeft" activeCell="F8" sqref="F8"/>
    </sheetView>
  </sheetViews>
  <sheetFormatPr baseColWidth="10" defaultColWidth="8.6640625" defaultRowHeight="15" x14ac:dyDescent="0.2"/>
  <cols>
    <col min="1" max="1" width="12" customWidth="1"/>
    <col min="2" max="2" width="24" customWidth="1"/>
    <col min="3" max="3" width="14.1640625" customWidth="1"/>
    <col min="4" max="4" width="14" customWidth="1"/>
    <col min="5" max="5" width="8" customWidth="1"/>
    <col min="6" max="6" width="38" customWidth="1"/>
    <col min="7" max="7" width="16.1640625" customWidth="1"/>
    <col min="8" max="8" width="18.5" customWidth="1"/>
    <col min="9" max="9" width="11" customWidth="1"/>
    <col min="10" max="10" width="12" customWidth="1"/>
  </cols>
  <sheetData>
    <row r="1" spans="1:10" ht="31.5" customHeight="1" x14ac:dyDescent="0.2">
      <c r="A1" s="16" t="s">
        <v>79</v>
      </c>
      <c r="B1" s="17" t="s">
        <v>80</v>
      </c>
      <c r="C1" s="17" t="s">
        <v>81</v>
      </c>
      <c r="D1" s="17" t="s">
        <v>82</v>
      </c>
      <c r="E1" s="17" t="s">
        <v>83</v>
      </c>
      <c r="F1" s="17" t="s">
        <v>84</v>
      </c>
      <c r="G1" s="17" t="s">
        <v>85</v>
      </c>
      <c r="H1" s="17" t="s">
        <v>86</v>
      </c>
      <c r="I1" s="17" t="s">
        <v>87</v>
      </c>
      <c r="J1" s="18" t="s">
        <v>88</v>
      </c>
    </row>
    <row r="2" spans="1:10" x14ac:dyDescent="0.2">
      <c r="A2" s="14" t="s">
        <v>89</v>
      </c>
      <c r="B2" s="4" t="s">
        <v>90</v>
      </c>
      <c r="C2" s="4" t="s">
        <v>91</v>
      </c>
      <c r="D2" s="6">
        <v>2.5</v>
      </c>
      <c r="E2" s="4">
        <v>24</v>
      </c>
      <c r="F2" s="4" t="s">
        <v>92</v>
      </c>
      <c r="G2" s="7">
        <f>SUMIF(Recipe_Ingredients!$A$2:$A$1000,A2,Recipe_Ingredients!$G$2:$G$1000)</f>
        <v>7.7789999999999999</v>
      </c>
      <c r="H2" s="8">
        <f t="shared" ref="H2:H11" si="0">G2/E2</f>
        <v>0.324125</v>
      </c>
      <c r="I2" s="9">
        <f t="shared" ref="I2:I11" si="1">(D2-H2)/D2</f>
        <v>0.87034999999999996</v>
      </c>
      <c r="J2" s="23" t="str">
        <f t="shared" ref="J2:J11" si="2">IF(I2&lt;IF(C2="Mai",0.2,0.1),"AT RISK","OK")</f>
        <v>OK</v>
      </c>
    </row>
    <row r="3" spans="1:10" x14ac:dyDescent="0.2">
      <c r="A3" s="14" t="s">
        <v>93</v>
      </c>
      <c r="B3" s="4" t="s">
        <v>94</v>
      </c>
      <c r="C3" s="4" t="s">
        <v>91</v>
      </c>
      <c r="D3" s="6">
        <v>0.5</v>
      </c>
      <c r="E3" s="4">
        <v>16</v>
      </c>
      <c r="F3" s="4" t="s">
        <v>95</v>
      </c>
      <c r="G3" s="7">
        <f>SUMIF(Recipe_Ingredients!$A$2:$A$1000,A3,Recipe_Ingredients!$G$2:$G$1000)</f>
        <v>7.2719999999999994</v>
      </c>
      <c r="H3" s="8">
        <f t="shared" si="0"/>
        <v>0.45449999999999996</v>
      </c>
      <c r="I3" s="9">
        <f t="shared" si="1"/>
        <v>9.1000000000000081E-2</v>
      </c>
      <c r="J3" s="23" t="str">
        <f t="shared" si="2"/>
        <v>AT RISK</v>
      </c>
    </row>
    <row r="4" spans="1:10" x14ac:dyDescent="0.2">
      <c r="A4" s="14" t="s">
        <v>96</v>
      </c>
      <c r="B4" s="4" t="s">
        <v>97</v>
      </c>
      <c r="C4" s="4" t="s">
        <v>91</v>
      </c>
      <c r="D4" s="30">
        <v>3.5</v>
      </c>
      <c r="E4" s="4">
        <v>16</v>
      </c>
      <c r="F4" s="4" t="s">
        <v>98</v>
      </c>
      <c r="G4" s="7">
        <f>SUMIF(Recipe_Ingredients!$A$2:$A$1000,A4,Recipe_Ingredients!$G$2:$G$1000)</f>
        <v>6.612000000000001</v>
      </c>
      <c r="H4" s="8">
        <f t="shared" si="0"/>
        <v>0.41325000000000006</v>
      </c>
      <c r="I4" s="9">
        <f t="shared" si="1"/>
        <v>0.8819285714285714</v>
      </c>
      <c r="J4" s="23" t="str">
        <f t="shared" si="2"/>
        <v>OK</v>
      </c>
    </row>
    <row r="5" spans="1:10" x14ac:dyDescent="0.2">
      <c r="A5" s="14" t="s">
        <v>99</v>
      </c>
      <c r="B5" s="4" t="s">
        <v>100</v>
      </c>
      <c r="C5" s="4" t="s">
        <v>91</v>
      </c>
      <c r="D5" s="6">
        <v>4</v>
      </c>
      <c r="E5" s="4">
        <v>8</v>
      </c>
      <c r="F5" s="4" t="s">
        <v>101</v>
      </c>
      <c r="G5" s="7">
        <f>SUMIF(Recipe_Ingredients!$A$2:$A$1000,A5,Recipe_Ingredients!$G$2:$G$1000)</f>
        <v>3.1939999999999995</v>
      </c>
      <c r="H5" s="8">
        <f t="shared" si="0"/>
        <v>0.39924999999999994</v>
      </c>
      <c r="I5" s="9">
        <f t="shared" si="1"/>
        <v>0.90018750000000003</v>
      </c>
      <c r="J5" s="23" t="str">
        <f t="shared" si="2"/>
        <v>OK</v>
      </c>
    </row>
    <row r="6" spans="1:10" x14ac:dyDescent="0.2">
      <c r="A6" s="14" t="s">
        <v>102</v>
      </c>
      <c r="B6" s="4" t="s">
        <v>103</v>
      </c>
      <c r="C6" s="4" t="s">
        <v>91</v>
      </c>
      <c r="D6" s="6">
        <v>2</v>
      </c>
      <c r="E6" s="4">
        <v>24</v>
      </c>
      <c r="F6" s="4" t="s">
        <v>92</v>
      </c>
      <c r="G6" s="7">
        <f>SUMIF(Recipe_Ingredients!$A$2:$A$1000,A6,Recipe_Ingredients!$G$2:$G$1000)</f>
        <v>3.7219999999999995</v>
      </c>
      <c r="H6" s="8">
        <f t="shared" si="0"/>
        <v>0.15508333333333332</v>
      </c>
      <c r="I6" s="9">
        <f t="shared" si="1"/>
        <v>0.92245833333333338</v>
      </c>
      <c r="J6" s="23" t="str">
        <f t="shared" si="2"/>
        <v>OK</v>
      </c>
    </row>
    <row r="7" spans="1:10" x14ac:dyDescent="0.2">
      <c r="A7" s="14" t="s">
        <v>104</v>
      </c>
      <c r="B7" s="4" t="s">
        <v>105</v>
      </c>
      <c r="C7" s="4" t="s">
        <v>106</v>
      </c>
      <c r="D7" s="6">
        <v>4.5</v>
      </c>
      <c r="E7" s="4">
        <v>1</v>
      </c>
      <c r="F7" s="4" t="s">
        <v>107</v>
      </c>
      <c r="G7" s="7">
        <f>SUMIF(Recipe_Ingredients!$A$2:$A$1000,A7,Recipe_Ingredients!$G$2:$G$1000)</f>
        <v>0.67</v>
      </c>
      <c r="H7" s="8">
        <f t="shared" si="0"/>
        <v>0.67</v>
      </c>
      <c r="I7" s="9">
        <f t="shared" si="1"/>
        <v>0.85111111111111115</v>
      </c>
      <c r="J7" s="23" t="str">
        <f t="shared" si="2"/>
        <v>OK</v>
      </c>
    </row>
    <row r="8" spans="1:10" x14ac:dyDescent="0.2">
      <c r="A8" s="14" t="s">
        <v>108</v>
      </c>
      <c r="B8" s="4" t="s">
        <v>109</v>
      </c>
      <c r="C8" s="4" t="s">
        <v>106</v>
      </c>
      <c r="D8" s="6">
        <v>4.25</v>
      </c>
      <c r="E8" s="4">
        <v>1</v>
      </c>
      <c r="F8" s="4" t="s">
        <v>107</v>
      </c>
      <c r="G8" s="7">
        <f>SUMIF(Recipe_Ingredients!$A$2:$A$1000,A8,Recipe_Ingredients!$G$2:$G$1000)</f>
        <v>0.58200000000000007</v>
      </c>
      <c r="H8" s="8">
        <f t="shared" si="0"/>
        <v>0.58200000000000007</v>
      </c>
      <c r="I8" s="9">
        <f t="shared" si="1"/>
        <v>0.86305882352941177</v>
      </c>
      <c r="J8" s="23" t="str">
        <f t="shared" si="2"/>
        <v>OK</v>
      </c>
    </row>
    <row r="9" spans="1:10" x14ac:dyDescent="0.2">
      <c r="A9" s="14" t="s">
        <v>110</v>
      </c>
      <c r="B9" s="4" t="s">
        <v>111</v>
      </c>
      <c r="C9" s="4" t="s">
        <v>106</v>
      </c>
      <c r="D9" s="6">
        <v>3</v>
      </c>
      <c r="E9" s="4">
        <v>1</v>
      </c>
      <c r="F9" s="4" t="s">
        <v>112</v>
      </c>
      <c r="G9" s="7">
        <f>SUMIF(Recipe_Ingredients!$A$2:$A$1000,A9,Recipe_Ingredients!$G$2:$G$1000)</f>
        <v>0.155</v>
      </c>
      <c r="H9" s="8">
        <f t="shared" si="0"/>
        <v>0.155</v>
      </c>
      <c r="I9" s="9">
        <f t="shared" si="1"/>
        <v>0.94833333333333336</v>
      </c>
      <c r="J9" s="23" t="str">
        <f t="shared" si="2"/>
        <v>OK</v>
      </c>
    </row>
    <row r="10" spans="1:10" x14ac:dyDescent="0.2">
      <c r="A10" s="14" t="s">
        <v>113</v>
      </c>
      <c r="B10" s="4" t="s">
        <v>114</v>
      </c>
      <c r="C10" s="4" t="s">
        <v>106</v>
      </c>
      <c r="D10" s="6">
        <v>3.75</v>
      </c>
      <c r="E10" s="4">
        <v>12</v>
      </c>
      <c r="F10" s="4" t="s">
        <v>115</v>
      </c>
      <c r="G10" s="7">
        <f>SUMIF(Recipe_Ingredients!$A$2:$A$1000,A10,Recipe_Ingredients!$G$2:$G$1000)</f>
        <v>4.4649999999999999</v>
      </c>
      <c r="H10" s="8">
        <f t="shared" si="0"/>
        <v>0.37208333333333332</v>
      </c>
      <c r="I10" s="9">
        <f t="shared" si="1"/>
        <v>0.90077777777777779</v>
      </c>
      <c r="J10" s="23" t="str">
        <f t="shared" si="2"/>
        <v>OK</v>
      </c>
    </row>
    <row r="11" spans="1:10" x14ac:dyDescent="0.2">
      <c r="A11" s="19" t="s">
        <v>116</v>
      </c>
      <c r="B11" s="20" t="s">
        <v>117</v>
      </c>
      <c r="C11" s="20" t="s">
        <v>118</v>
      </c>
      <c r="D11" s="24">
        <v>8</v>
      </c>
      <c r="E11" s="20">
        <v>50</v>
      </c>
      <c r="F11" s="20" t="s">
        <v>119</v>
      </c>
      <c r="G11" s="25">
        <f>SUMIF(Recipe_Ingredients!$A$2:$A$1000,A11,Recipe_Ingredients!$G$2:$G$1000)</f>
        <v>44.230000000000004</v>
      </c>
      <c r="H11" s="26">
        <f t="shared" si="0"/>
        <v>0.88460000000000005</v>
      </c>
      <c r="I11" s="27">
        <f t="shared" si="1"/>
        <v>0.88942500000000002</v>
      </c>
      <c r="J11" s="28" t="str">
        <f t="shared" si="2"/>
        <v>OK</v>
      </c>
    </row>
  </sheetData>
  <conditionalFormatting sqref="J2:J11">
    <cfRule type="cellIs" dxfId="2" priority="2" operator="equal">
      <formula>"AT RISK"</formula>
    </cfRule>
    <cfRule type="cellIs" dxfId="1" priority="3" operator="equal">
      <formula>"OK"</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363E-D12D-084D-9B76-B9F6ABBCD9AF}">
  <dimension ref="A3:B10"/>
  <sheetViews>
    <sheetView tabSelected="1" workbookViewId="0">
      <selection activeCell="G25" sqref="G25"/>
    </sheetView>
  </sheetViews>
  <sheetFormatPr baseColWidth="10" defaultRowHeight="15" x14ac:dyDescent="0.2"/>
  <cols>
    <col min="1" max="1" width="12.5" bestFit="1" customWidth="1"/>
    <col min="2" max="2" width="14.1640625" bestFit="1" customWidth="1"/>
  </cols>
  <sheetData>
    <row r="3" spans="1:2" x14ac:dyDescent="0.2">
      <c r="A3" s="11" t="s">
        <v>122</v>
      </c>
      <c r="B3" t="s">
        <v>128</v>
      </c>
    </row>
    <row r="4" spans="1:2" x14ac:dyDescent="0.2">
      <c r="A4" s="12" t="s">
        <v>72</v>
      </c>
      <c r="B4" s="31">
        <v>44</v>
      </c>
    </row>
    <row r="5" spans="1:2" x14ac:dyDescent="0.2">
      <c r="A5" s="12" t="s">
        <v>34</v>
      </c>
      <c r="B5" s="31">
        <v>14.994000000000003</v>
      </c>
    </row>
    <row r="6" spans="1:2" x14ac:dyDescent="0.2">
      <c r="A6" s="12" t="s">
        <v>28</v>
      </c>
      <c r="B6" s="31">
        <v>14.681999999999999</v>
      </c>
    </row>
    <row r="7" spans="1:2" x14ac:dyDescent="0.2">
      <c r="A7" s="12" t="s">
        <v>51</v>
      </c>
      <c r="B7" s="31">
        <v>4.75</v>
      </c>
    </row>
    <row r="8" spans="1:2" x14ac:dyDescent="0.2">
      <c r="A8" s="12" t="s">
        <v>76</v>
      </c>
      <c r="B8" s="31">
        <v>0.255</v>
      </c>
    </row>
    <row r="9" spans="1:2" x14ac:dyDescent="0.2">
      <c r="A9" s="12" t="s">
        <v>127</v>
      </c>
      <c r="B9" s="31">
        <v>0</v>
      </c>
    </row>
    <row r="10" spans="1:2" x14ac:dyDescent="0.2">
      <c r="A10" s="12" t="s">
        <v>123</v>
      </c>
      <c r="B10" s="31">
        <v>78.680999999999997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7"/>
  <sheetViews>
    <sheetView zoomScale="134" zoomScaleNormal="63" workbookViewId="0">
      <pane ySplit="1" topLeftCell="A2" activePane="bottomLeft" state="frozen"/>
      <selection pane="bottomLeft" activeCell="H4" sqref="H4"/>
    </sheetView>
  </sheetViews>
  <sheetFormatPr baseColWidth="10" defaultColWidth="8.6640625" defaultRowHeight="15" x14ac:dyDescent="0.2"/>
  <cols>
    <col min="1" max="1" width="12" customWidth="1"/>
    <col min="2" max="2" width="24" customWidth="1"/>
    <col min="3" max="3" width="14" customWidth="1"/>
    <col min="4" max="4" width="22" customWidth="1"/>
    <col min="5" max="5" width="8" customWidth="1"/>
    <col min="6" max="7" width="14" customWidth="1"/>
  </cols>
  <sheetData>
    <row r="1" spans="1:8" ht="31.5" customHeight="1" x14ac:dyDescent="0.2">
      <c r="A1" s="17" t="s">
        <v>79</v>
      </c>
      <c r="B1" s="17" t="s">
        <v>80</v>
      </c>
      <c r="C1" s="17" t="s">
        <v>18</v>
      </c>
      <c r="D1" s="17" t="s">
        <v>19</v>
      </c>
      <c r="E1" s="17" t="s">
        <v>20</v>
      </c>
      <c r="F1" s="17" t="s">
        <v>120</v>
      </c>
      <c r="G1" s="18" t="s">
        <v>121</v>
      </c>
      <c r="H1" s="17" t="s">
        <v>126</v>
      </c>
    </row>
    <row r="2" spans="1:8" x14ac:dyDescent="0.2">
      <c r="A2" s="4" t="s">
        <v>89</v>
      </c>
      <c r="B2" s="10" t="str">
        <f>VLOOKUP(A2,Recipes!$A$2:$B$11,2,FALSE())</f>
        <v>Chocolate Chip Cookies</v>
      </c>
      <c r="C2" s="4" t="s">
        <v>24</v>
      </c>
      <c r="D2" s="10" t="str">
        <f>VLOOKUP(C2,Ingredients!$A$2:$F$22,2,FALSE())</f>
        <v>All-Purpose Flour</v>
      </c>
      <c r="E2" s="10" t="str">
        <f>VLOOKUP(C2,Ingredients!$A$2:$F$22,3,FALSE())</f>
        <v>g</v>
      </c>
      <c r="F2" s="4">
        <v>280</v>
      </c>
      <c r="G2" s="29">
        <f>F2*VLOOKUP(C2,Ingredients!$A$2:$F$22,4,FALSE())</f>
        <v>0.61599999999999999</v>
      </c>
      <c r="H2" t="str">
        <f>INDEX(Ingredients!F:F,MATCH(C2,Ingredients!A:A))</f>
        <v>Dry Goods</v>
      </c>
    </row>
    <row r="3" spans="1:8" x14ac:dyDescent="0.2">
      <c r="A3" s="4" t="s">
        <v>89</v>
      </c>
      <c r="B3" s="10" t="str">
        <f>VLOOKUP(A3,Recipes!$A$2:$B$11,2,FALSE())</f>
        <v>Chocolate Chip Cookies</v>
      </c>
      <c r="C3" s="4" t="s">
        <v>29</v>
      </c>
      <c r="D3" s="10" t="str">
        <f>VLOOKUP(C3,Ingredients!$A$2:$F$22,2,FALSE())</f>
        <v>Granulated Sugar</v>
      </c>
      <c r="E3" s="10" t="str">
        <f>VLOOKUP(C3,Ingredients!$A$2:$F$22,3,FALSE())</f>
        <v>g</v>
      </c>
      <c r="F3" s="4">
        <v>150</v>
      </c>
      <c r="G3" s="29">
        <f>F3*VLOOKUP(C3,Ingredients!$A$2:$F$22,4,FALSE())</f>
        <v>0.27</v>
      </c>
      <c r="H3" t="str">
        <f>INDEX(Ingredients!F:F,MATCH(C3,Ingredients!A:A))</f>
        <v>Dry Goods</v>
      </c>
    </row>
    <row r="4" spans="1:8" x14ac:dyDescent="0.2">
      <c r="A4" s="4" t="s">
        <v>89</v>
      </c>
      <c r="B4" s="10" t="str">
        <f>VLOOKUP(A4,Recipes!$A$2:$B$11,2,FALSE())</f>
        <v>Chocolate Chip Cookies</v>
      </c>
      <c r="C4" s="4" t="s">
        <v>40</v>
      </c>
      <c r="D4" s="10" t="str">
        <f>VLOOKUP(C4,Ingredients!$A$2:$F$22,2,FALSE())</f>
        <v>Brown Sugar</v>
      </c>
      <c r="E4" s="10" t="str">
        <f>VLOOKUP(C4,Ingredients!$A$2:$F$22,3,FALSE())</f>
        <v>g</v>
      </c>
      <c r="F4" s="4">
        <v>150</v>
      </c>
      <c r="G4" s="29">
        <f>F4*VLOOKUP(C4,Ingredients!$A$2:$F$22,4,FALSE())</f>
        <v>0.3</v>
      </c>
      <c r="H4" t="str">
        <f>INDEX(Ingredients!F:F,MATCH(C4,Ingredients!A:A))</f>
        <v>Dry Goods</v>
      </c>
    </row>
    <row r="5" spans="1:8" x14ac:dyDescent="0.2">
      <c r="A5" s="4" t="s">
        <v>89</v>
      </c>
      <c r="B5" s="10" t="str">
        <f>VLOOKUP(A5,Recipes!$A$2:$B$11,2,FALSE())</f>
        <v>Chocolate Chip Cookies</v>
      </c>
      <c r="C5" s="4" t="s">
        <v>31</v>
      </c>
      <c r="D5" s="10" t="str">
        <f>VLOOKUP(C5,Ingredients!$A$2:$F$22,2,FALSE())</f>
        <v>Unsalted Butter</v>
      </c>
      <c r="E5" s="10" t="str">
        <f>VLOOKUP(C5,Ingredients!$A$2:$F$22,3,FALSE())</f>
        <v>g</v>
      </c>
      <c r="F5" s="4">
        <v>225</v>
      </c>
      <c r="G5" s="29">
        <f>F5*VLOOKUP(C5,Ingredients!$A$2:$F$22,4,FALSE())</f>
        <v>1.9800000000000002</v>
      </c>
      <c r="H5" t="str">
        <f>INDEX(Ingredients!F:F,MATCH(C5,Ingredients!A:A))</f>
        <v>Dairy</v>
      </c>
    </row>
    <row r="6" spans="1:8" x14ac:dyDescent="0.2">
      <c r="A6" s="4" t="s">
        <v>89</v>
      </c>
      <c r="B6" s="10" t="str">
        <f>VLOOKUP(A6,Recipes!$A$2:$B$11,2,FALSE())</f>
        <v>Chocolate Chip Cookies</v>
      </c>
      <c r="C6" s="4" t="s">
        <v>35</v>
      </c>
      <c r="D6" s="10" t="str">
        <f>VLOOKUP(C6,Ingredients!$A$2:$F$22,2,FALSE())</f>
        <v>Large Eggs</v>
      </c>
      <c r="E6" s="10" t="str">
        <f>VLOOKUP(C6,Ingredients!$A$2:$F$22,3,FALSE())</f>
        <v>ea</v>
      </c>
      <c r="F6" s="4">
        <v>2</v>
      </c>
      <c r="G6" s="29">
        <f>F6*VLOOKUP(C6,Ingredients!$A$2:$F$22,4,FALSE())</f>
        <v>0.6</v>
      </c>
      <c r="H6" t="str">
        <f>INDEX(Ingredients!F:F,MATCH(C6,Ingredients!A:A))</f>
        <v>Dairy</v>
      </c>
    </row>
    <row r="7" spans="1:8" x14ac:dyDescent="0.2">
      <c r="A7" s="4" t="s">
        <v>89</v>
      </c>
      <c r="B7" s="10" t="str">
        <f>VLOOKUP(A7,Recipes!$A$2:$B$11,2,FALSE())</f>
        <v>Chocolate Chip Cookies</v>
      </c>
      <c r="C7" s="4" t="s">
        <v>42</v>
      </c>
      <c r="D7" s="10" t="str">
        <f>VLOOKUP(C7,Ingredients!$A$2:$F$22,2,FALSE())</f>
        <v>Vanilla Extract</v>
      </c>
      <c r="E7" s="10" t="str">
        <f>VLOOKUP(C7,Ingredients!$A$2:$F$22,3,FALSE())</f>
        <v>ml</v>
      </c>
      <c r="F7" s="4">
        <v>5</v>
      </c>
      <c r="G7" s="29">
        <f>F7*VLOOKUP(C7,Ingredients!$A$2:$F$22,4,FALSE())</f>
        <v>0.4</v>
      </c>
      <c r="H7" t="str">
        <f>INDEX(Ingredients!F:F,MATCH(C7,Ingredients!A:A))</f>
        <v>Dry Goods</v>
      </c>
    </row>
    <row r="8" spans="1:8" x14ac:dyDescent="0.2">
      <c r="A8" s="4" t="s">
        <v>89</v>
      </c>
      <c r="B8" s="10" t="str">
        <f>VLOOKUP(A8,Recipes!$A$2:$B$11,2,FALSE())</f>
        <v>Chocolate Chip Cookies</v>
      </c>
      <c r="C8" s="4" t="s">
        <v>45</v>
      </c>
      <c r="D8" s="10" t="str">
        <f>VLOOKUP(C8,Ingredients!$A$2:$F$22,2,FALSE())</f>
        <v>Baking Soda</v>
      </c>
      <c r="E8" s="10" t="str">
        <f>VLOOKUP(C8,Ingredients!$A$2:$F$22,3,FALSE())</f>
        <v>g</v>
      </c>
      <c r="F8" s="4">
        <v>5</v>
      </c>
      <c r="G8" s="29">
        <f>F8*VLOOKUP(C8,Ingredients!$A$2:$F$22,4,FALSE())</f>
        <v>0.01</v>
      </c>
      <c r="H8" t="str">
        <f>INDEX(Ingredients!F:F,MATCH(C8,Ingredients!A:A))</f>
        <v>Dry Goods</v>
      </c>
    </row>
    <row r="9" spans="1:8" x14ac:dyDescent="0.2">
      <c r="A9" s="4" t="s">
        <v>89</v>
      </c>
      <c r="B9" s="10" t="str">
        <f>VLOOKUP(A9,Recipes!$A$2:$B$11,2,FALSE())</f>
        <v>Chocolate Chip Cookies</v>
      </c>
      <c r="C9" s="4" t="s">
        <v>47</v>
      </c>
      <c r="D9" s="10" t="str">
        <f>VLOOKUP(C9,Ingredients!$A$2:$F$22,2,FALSE())</f>
        <v>Salt</v>
      </c>
      <c r="E9" s="10" t="str">
        <f>VLOOKUP(C9,Ingredients!$A$2:$F$22,3,FALSE())</f>
        <v>g</v>
      </c>
      <c r="F9" s="4">
        <v>3</v>
      </c>
      <c r="G9" s="29">
        <f>F9*VLOOKUP(C9,Ingredients!$A$2:$F$22,4,FALSE())</f>
        <v>3.0000000000000001E-3</v>
      </c>
      <c r="H9" t="str">
        <f>INDEX(Ingredients!F:F,MATCH(C9,Ingredients!A:A))</f>
        <v>Dry Goods</v>
      </c>
    </row>
    <row r="10" spans="1:8" x14ac:dyDescent="0.2">
      <c r="A10" s="4" t="s">
        <v>89</v>
      </c>
      <c r="B10" s="10" t="str">
        <f>VLOOKUP(A10,Recipes!$A$2:$B$11,2,FALSE())</f>
        <v>Chocolate Chip Cookies</v>
      </c>
      <c r="C10" s="4" t="s">
        <v>38</v>
      </c>
      <c r="D10" s="10" t="str">
        <f>VLOOKUP(C10,Ingredients!$A$2:$F$22,2,FALSE())</f>
        <v>Chocolate Chips</v>
      </c>
      <c r="E10" s="10" t="str">
        <f>VLOOKUP(C10,Ingredients!$A$2:$F$22,3,FALSE())</f>
        <v>g</v>
      </c>
      <c r="F10" s="4">
        <v>300</v>
      </c>
      <c r="G10" s="29">
        <f>F10*VLOOKUP(C10,Ingredients!$A$2:$F$22,4,FALSE())</f>
        <v>3.6</v>
      </c>
      <c r="H10" t="str">
        <f>INDEX(Ingredients!F:F,MATCH(C10,Ingredients!A:A))</f>
        <v>Dry Goods</v>
      </c>
    </row>
    <row r="11" spans="1:8" x14ac:dyDescent="0.2">
      <c r="A11" s="4" t="s">
        <v>93</v>
      </c>
      <c r="B11" s="10" t="str">
        <f>VLOOKUP(A11,Recipes!$A$2:$B$11,2,FALSE())</f>
        <v>Lemon Bars</v>
      </c>
      <c r="C11" s="4" t="s">
        <v>24</v>
      </c>
      <c r="D11" s="10" t="str">
        <f>VLOOKUP(C11,Ingredients!$A$2:$F$22,2,FALSE())</f>
        <v>All-Purpose Flour</v>
      </c>
      <c r="E11" s="10" t="str">
        <f>VLOOKUP(C11,Ingredients!$A$2:$F$22,3,FALSE())</f>
        <v>g</v>
      </c>
      <c r="F11" s="4">
        <v>250</v>
      </c>
      <c r="G11" s="29">
        <f>F11*VLOOKUP(C11,Ingredients!$A$2:$F$22,4,FALSE())</f>
        <v>0.55000000000000004</v>
      </c>
      <c r="H11" t="str">
        <f>INDEX(Ingredients!F:F,MATCH(C11,Ingredients!A:A))</f>
        <v>Dry Goods</v>
      </c>
    </row>
    <row r="12" spans="1:8" x14ac:dyDescent="0.2">
      <c r="A12" s="4" t="s">
        <v>93</v>
      </c>
      <c r="B12" s="10" t="str">
        <f>VLOOKUP(A12,Recipes!$A$2:$B$11,2,FALSE())</f>
        <v>Lemon Bars</v>
      </c>
      <c r="C12" s="4" t="s">
        <v>52</v>
      </c>
      <c r="D12" s="10" t="str">
        <f>VLOOKUP(C12,Ingredients!$A$2:$F$22,2,FALSE())</f>
        <v>Powdered Sugar</v>
      </c>
      <c r="E12" s="10" t="str">
        <f>VLOOKUP(C12,Ingredients!$A$2:$F$22,3,FALSE())</f>
        <v>g</v>
      </c>
      <c r="F12" s="4">
        <v>200</v>
      </c>
      <c r="G12" s="29">
        <f>F12*VLOOKUP(C12,Ingredients!$A$2:$F$22,4,FALSE())</f>
        <v>0.6</v>
      </c>
      <c r="H12" t="str">
        <f>INDEX(Ingredients!F:F,MATCH(C12,Ingredients!A:A))</f>
        <v>Dry Goods</v>
      </c>
    </row>
    <row r="13" spans="1:8" x14ac:dyDescent="0.2">
      <c r="A13" s="4" t="s">
        <v>93</v>
      </c>
      <c r="B13" s="10" t="str">
        <f>VLOOKUP(A13,Recipes!$A$2:$B$11,2,FALSE())</f>
        <v>Lemon Bars</v>
      </c>
      <c r="C13" s="4" t="s">
        <v>31</v>
      </c>
      <c r="D13" s="10" t="str">
        <f>VLOOKUP(C13,Ingredients!$A$2:$F$22,2,FALSE())</f>
        <v>Unsalted Butter</v>
      </c>
      <c r="E13" s="10" t="str">
        <f>VLOOKUP(C13,Ingredients!$A$2:$F$22,3,FALSE())</f>
        <v>g</v>
      </c>
      <c r="F13" s="4">
        <v>225</v>
      </c>
      <c r="G13" s="29">
        <f>F13*VLOOKUP(C13,Ingredients!$A$2:$F$22,4,FALSE())</f>
        <v>1.9800000000000002</v>
      </c>
      <c r="H13" t="str">
        <f>INDEX(Ingredients!F:F,MATCH(C13,Ingredients!A:A))</f>
        <v>Dairy</v>
      </c>
    </row>
    <row r="14" spans="1:8" x14ac:dyDescent="0.2">
      <c r="A14" s="4" t="s">
        <v>93</v>
      </c>
      <c r="B14" s="10" t="str">
        <f>VLOOKUP(A14,Recipes!$A$2:$B$11,2,FALSE())</f>
        <v>Lemon Bars</v>
      </c>
      <c r="C14" s="4" t="s">
        <v>35</v>
      </c>
      <c r="D14" s="10" t="str">
        <f>VLOOKUP(C14,Ingredients!$A$2:$F$22,2,FALSE())</f>
        <v>Large Eggs</v>
      </c>
      <c r="E14" s="10" t="str">
        <f>VLOOKUP(C14,Ingredients!$A$2:$F$22,3,FALSE())</f>
        <v>ea</v>
      </c>
      <c r="F14" s="4">
        <v>4</v>
      </c>
      <c r="G14" s="29">
        <f>F14*VLOOKUP(C14,Ingredients!$A$2:$F$22,4,FALSE())</f>
        <v>1.2</v>
      </c>
      <c r="H14" t="str">
        <f>INDEX(Ingredients!F:F,MATCH(C14,Ingredients!A:A))</f>
        <v>Dairy</v>
      </c>
    </row>
    <row r="15" spans="1:8" x14ac:dyDescent="0.2">
      <c r="A15" s="4" t="s">
        <v>93</v>
      </c>
      <c r="B15" s="10" t="str">
        <f>VLOOKUP(A15,Recipes!$A$2:$B$11,2,FALSE())</f>
        <v>Lemon Bars</v>
      </c>
      <c r="C15" s="4" t="s">
        <v>29</v>
      </c>
      <c r="D15" s="10" t="str">
        <f>VLOOKUP(C15,Ingredients!$A$2:$F$22,2,FALSE())</f>
        <v>Granulated Sugar</v>
      </c>
      <c r="E15" s="10" t="str">
        <f>VLOOKUP(C15,Ingredients!$A$2:$F$22,3,FALSE())</f>
        <v>g</v>
      </c>
      <c r="F15" s="4">
        <v>300</v>
      </c>
      <c r="G15" s="29">
        <f>F15*VLOOKUP(C15,Ingredients!$A$2:$F$22,4,FALSE())</f>
        <v>0.54</v>
      </c>
      <c r="H15" t="str">
        <f>INDEX(Ingredients!F:F,MATCH(C15,Ingredients!A:A))</f>
        <v>Dry Goods</v>
      </c>
    </row>
    <row r="16" spans="1:8" x14ac:dyDescent="0.2">
      <c r="A16" s="4" t="s">
        <v>93</v>
      </c>
      <c r="B16" s="10" t="str">
        <f>VLOOKUP(A16,Recipes!$A$2:$B$11,2,FALSE())</f>
        <v>Lemon Bars</v>
      </c>
      <c r="C16" s="4" t="s">
        <v>49</v>
      </c>
      <c r="D16" s="10" t="str">
        <f>VLOOKUP(C16,Ingredients!$A$2:$F$22,2,FALSE())</f>
        <v>Lemons</v>
      </c>
      <c r="E16" s="10" t="str">
        <f>VLOOKUP(C16,Ingredients!$A$2:$F$22,3,FALSE())</f>
        <v>ea</v>
      </c>
      <c r="F16" s="4">
        <v>4</v>
      </c>
      <c r="G16" s="29">
        <f>F16*VLOOKUP(C16,Ingredients!$A$2:$F$22,4,FALSE())</f>
        <v>2.4</v>
      </c>
      <c r="H16" t="str">
        <f>INDEX(Ingredients!F:F,MATCH(C16,Ingredients!A:A))</f>
        <v>Produce</v>
      </c>
    </row>
    <row r="17" spans="1:8" x14ac:dyDescent="0.2">
      <c r="A17" s="4" t="s">
        <v>93</v>
      </c>
      <c r="B17" s="10" t="str">
        <f>VLOOKUP(A17,Recipes!$A$2:$B$11,2,FALSE())</f>
        <v>Lemon Bars</v>
      </c>
      <c r="C17" s="4" t="s">
        <v>47</v>
      </c>
      <c r="D17" s="10" t="str">
        <f>VLOOKUP(C17,Ingredients!$A$2:$F$22,2,FALSE())</f>
        <v>Salt</v>
      </c>
      <c r="E17" s="10" t="str">
        <f>VLOOKUP(C17,Ingredients!$A$2:$F$22,3,FALSE())</f>
        <v>g</v>
      </c>
      <c r="F17" s="4">
        <v>2</v>
      </c>
      <c r="G17" s="29">
        <f>F17*VLOOKUP(C17,Ingredients!$A$2:$F$22,4,FALSE())</f>
        <v>2E-3</v>
      </c>
      <c r="H17" t="str">
        <f>INDEX(Ingredients!F:F,MATCH(C17,Ingredients!A:A))</f>
        <v>Dry Goods</v>
      </c>
    </row>
    <row r="18" spans="1:8" x14ac:dyDescent="0.2">
      <c r="A18" s="4" t="s">
        <v>96</v>
      </c>
      <c r="B18" s="10" t="str">
        <f>VLOOKUP(A18,Recipes!$A$2:$B$11,2,FALSE())</f>
        <v>Fudge Brownies</v>
      </c>
      <c r="C18" s="4" t="s">
        <v>24</v>
      </c>
      <c r="D18" s="10" t="str">
        <f>VLOOKUP(C18,Ingredients!$A$2:$F$22,2,FALSE())</f>
        <v>All-Purpose Flour</v>
      </c>
      <c r="E18" s="10" t="str">
        <f>VLOOKUP(C18,Ingredients!$A$2:$F$22,3,FALSE())</f>
        <v>g</v>
      </c>
      <c r="F18" s="4">
        <v>150</v>
      </c>
      <c r="G18" s="29">
        <f>F18*VLOOKUP(C18,Ingredients!$A$2:$F$22,4,FALSE())</f>
        <v>0.33</v>
      </c>
      <c r="H18" t="str">
        <f>INDEX(Ingredients!F:F,MATCH(C18,Ingredients!A:A))</f>
        <v>Dry Goods</v>
      </c>
    </row>
    <row r="19" spans="1:8" x14ac:dyDescent="0.2">
      <c r="A19" s="4" t="s">
        <v>96</v>
      </c>
      <c r="B19" s="10" t="str">
        <f>VLOOKUP(A19,Recipes!$A$2:$B$11,2,FALSE())</f>
        <v>Fudge Brownies</v>
      </c>
      <c r="C19" s="4" t="s">
        <v>29</v>
      </c>
      <c r="D19" s="10" t="str">
        <f>VLOOKUP(C19,Ingredients!$A$2:$F$22,2,FALSE())</f>
        <v>Granulated Sugar</v>
      </c>
      <c r="E19" s="10" t="str">
        <f>VLOOKUP(C19,Ingredients!$A$2:$F$22,3,FALSE())</f>
        <v>g</v>
      </c>
      <c r="F19" s="4">
        <v>300</v>
      </c>
      <c r="G19" s="29">
        <f>F19*VLOOKUP(C19,Ingredients!$A$2:$F$22,4,FALSE())</f>
        <v>0.54</v>
      </c>
      <c r="H19" t="str">
        <f>INDEX(Ingredients!F:F,MATCH(C19,Ingredients!A:A))</f>
        <v>Dry Goods</v>
      </c>
    </row>
    <row r="20" spans="1:8" x14ac:dyDescent="0.2">
      <c r="A20" s="4" t="s">
        <v>96</v>
      </c>
      <c r="B20" s="10" t="str">
        <f>VLOOKUP(A20,Recipes!$A$2:$B$11,2,FALSE())</f>
        <v>Fudge Brownies</v>
      </c>
      <c r="C20" s="4" t="s">
        <v>31</v>
      </c>
      <c r="D20" s="10" t="str">
        <f>VLOOKUP(C20,Ingredients!$A$2:$F$22,2,FALSE())</f>
        <v>Unsalted Butter</v>
      </c>
      <c r="E20" s="10" t="str">
        <f>VLOOKUP(C20,Ingredients!$A$2:$F$22,3,FALSE())</f>
        <v>g</v>
      </c>
      <c r="F20" s="4">
        <v>225</v>
      </c>
      <c r="G20" s="29">
        <f>F20*VLOOKUP(C20,Ingredients!$A$2:$F$22,4,FALSE())</f>
        <v>1.9800000000000002</v>
      </c>
      <c r="H20" t="str">
        <f>INDEX(Ingredients!F:F,MATCH(C20,Ingredients!A:A))</f>
        <v>Dairy</v>
      </c>
    </row>
    <row r="21" spans="1:8" x14ac:dyDescent="0.2">
      <c r="A21" s="4" t="s">
        <v>96</v>
      </c>
      <c r="B21" s="10" t="str">
        <f>VLOOKUP(A21,Recipes!$A$2:$B$11,2,FALSE())</f>
        <v>Fudge Brownies</v>
      </c>
      <c r="C21" s="4" t="s">
        <v>35</v>
      </c>
      <c r="D21" s="10" t="str">
        <f>VLOOKUP(C21,Ingredients!$A$2:$F$22,2,FALSE())</f>
        <v>Large Eggs</v>
      </c>
      <c r="E21" s="10" t="str">
        <f>VLOOKUP(C21,Ingredients!$A$2:$F$22,3,FALSE())</f>
        <v>ea</v>
      </c>
      <c r="F21" s="4">
        <v>4</v>
      </c>
      <c r="G21" s="29">
        <f>F21*VLOOKUP(C21,Ingredients!$A$2:$F$22,4,FALSE())</f>
        <v>1.2</v>
      </c>
      <c r="H21" t="str">
        <f>INDEX(Ingredients!F:F,MATCH(C21,Ingredients!A:A))</f>
        <v>Dairy</v>
      </c>
    </row>
    <row r="22" spans="1:8" x14ac:dyDescent="0.2">
      <c r="A22" s="4" t="s">
        <v>96</v>
      </c>
      <c r="B22" s="10" t="str">
        <f>VLOOKUP(A22,Recipes!$A$2:$B$11,2,FALSE())</f>
        <v>Fudge Brownies</v>
      </c>
      <c r="C22" s="4" t="s">
        <v>54</v>
      </c>
      <c r="D22" s="10" t="str">
        <f>VLOOKUP(C22,Ingredients!$A$2:$F$22,2,FALSE())</f>
        <v>Cocoa Powder</v>
      </c>
      <c r="E22" s="10" t="str">
        <f>VLOOKUP(C22,Ingredients!$A$2:$F$22,3,FALSE())</f>
        <v>g</v>
      </c>
      <c r="F22" s="4">
        <v>80</v>
      </c>
      <c r="G22" s="29">
        <f>F22*VLOOKUP(C22,Ingredients!$A$2:$F$22,4,FALSE())</f>
        <v>0.96</v>
      </c>
      <c r="H22" t="str">
        <f>INDEX(Ingredients!F:F,MATCH(C22,Ingredients!A:A))</f>
        <v>Dry Goods</v>
      </c>
    </row>
    <row r="23" spans="1:8" x14ac:dyDescent="0.2">
      <c r="A23" s="4" t="s">
        <v>96</v>
      </c>
      <c r="B23" s="10" t="str">
        <f>VLOOKUP(A23,Recipes!$A$2:$B$11,2,FALSE())</f>
        <v>Fudge Brownies</v>
      </c>
      <c r="C23" s="4" t="s">
        <v>42</v>
      </c>
      <c r="D23" s="10" t="str">
        <f>VLOOKUP(C23,Ingredients!$A$2:$F$22,2,FALSE())</f>
        <v>Vanilla Extract</v>
      </c>
      <c r="E23" s="10" t="str">
        <f>VLOOKUP(C23,Ingredients!$A$2:$F$22,3,FALSE())</f>
        <v>ml</v>
      </c>
      <c r="F23" s="4">
        <v>5</v>
      </c>
      <c r="G23" s="29">
        <f>F23*VLOOKUP(C23,Ingredients!$A$2:$F$22,4,FALSE())</f>
        <v>0.4</v>
      </c>
      <c r="H23" t="str">
        <f>INDEX(Ingredients!F:F,MATCH(C23,Ingredients!A:A))</f>
        <v>Dry Goods</v>
      </c>
    </row>
    <row r="24" spans="1:8" x14ac:dyDescent="0.2">
      <c r="A24" s="4" t="s">
        <v>96</v>
      </c>
      <c r="B24" s="10" t="str">
        <f>VLOOKUP(A24,Recipes!$A$2:$B$11,2,FALSE())</f>
        <v>Fudge Brownies</v>
      </c>
      <c r="C24" s="4" t="s">
        <v>47</v>
      </c>
      <c r="D24" s="10" t="str">
        <f>VLOOKUP(C24,Ingredients!$A$2:$F$22,2,FALSE())</f>
        <v>Salt</v>
      </c>
      <c r="E24" s="10" t="str">
        <f>VLOOKUP(C24,Ingredients!$A$2:$F$22,3,FALSE())</f>
        <v>g</v>
      </c>
      <c r="F24" s="4">
        <v>2</v>
      </c>
      <c r="G24" s="29">
        <f>F24*VLOOKUP(C24,Ingredients!$A$2:$F$22,4,FALSE())</f>
        <v>2E-3</v>
      </c>
      <c r="H24" t="str">
        <f>INDEX(Ingredients!F:F,MATCH(C24,Ingredients!A:A))</f>
        <v>Dry Goods</v>
      </c>
    </row>
    <row r="25" spans="1:8" x14ac:dyDescent="0.2">
      <c r="A25" s="4" t="s">
        <v>96</v>
      </c>
      <c r="B25" s="10" t="str">
        <f>VLOOKUP(A25,Recipes!$A$2:$B$11,2,FALSE())</f>
        <v>Fudge Brownies</v>
      </c>
      <c r="C25" s="4" t="s">
        <v>38</v>
      </c>
      <c r="D25" s="10" t="str">
        <f>VLOOKUP(C25,Ingredients!$A$2:$F$22,2,FALSE())</f>
        <v>Chocolate Chips</v>
      </c>
      <c r="E25" s="10" t="str">
        <f>VLOOKUP(C25,Ingredients!$A$2:$F$22,3,FALSE())</f>
        <v>g</v>
      </c>
      <c r="F25" s="4">
        <v>100</v>
      </c>
      <c r="G25" s="29">
        <f>F25*VLOOKUP(C25,Ingredients!$A$2:$F$22,4,FALSE())</f>
        <v>1.2</v>
      </c>
      <c r="H25" t="str">
        <f>INDEX(Ingredients!F:F,MATCH(C25,Ingredients!A:A))</f>
        <v>Dry Goods</v>
      </c>
    </row>
    <row r="26" spans="1:8" x14ac:dyDescent="0.2">
      <c r="A26" s="4" t="s">
        <v>99</v>
      </c>
      <c r="B26" s="10" t="str">
        <f>VLOOKUP(A26,Recipes!$A$2:$B$11,2,FALSE())</f>
        <v>Banana Bread</v>
      </c>
      <c r="C26" s="4" t="s">
        <v>24</v>
      </c>
      <c r="D26" s="10" t="str">
        <f>VLOOKUP(C26,Ingredients!$A$2:$F$22,2,FALSE())</f>
        <v>All-Purpose Flour</v>
      </c>
      <c r="E26" s="10" t="str">
        <f>VLOOKUP(C26,Ingredients!$A$2:$F$22,3,FALSE())</f>
        <v>g</v>
      </c>
      <c r="F26" s="4">
        <v>250</v>
      </c>
      <c r="G26" s="29">
        <f>F26*VLOOKUP(C26,Ingredients!$A$2:$F$22,4,FALSE())</f>
        <v>0.55000000000000004</v>
      </c>
      <c r="H26" t="str">
        <f>INDEX(Ingredients!F:F,MATCH(C26,Ingredients!A:A))</f>
        <v>Dry Goods</v>
      </c>
    </row>
    <row r="27" spans="1:8" x14ac:dyDescent="0.2">
      <c r="A27" s="4" t="s">
        <v>99</v>
      </c>
      <c r="B27" s="10" t="str">
        <f>VLOOKUP(A27,Recipes!$A$2:$B$11,2,FALSE())</f>
        <v>Banana Bread</v>
      </c>
      <c r="C27" s="4" t="s">
        <v>29</v>
      </c>
      <c r="D27" s="10" t="str">
        <f>VLOOKUP(C27,Ingredients!$A$2:$F$22,2,FALSE())</f>
        <v>Granulated Sugar</v>
      </c>
      <c r="E27" s="10" t="str">
        <f>VLOOKUP(C27,Ingredients!$A$2:$F$22,3,FALSE())</f>
        <v>g</v>
      </c>
      <c r="F27" s="4">
        <v>150</v>
      </c>
      <c r="G27" s="29">
        <f>F27*VLOOKUP(C27,Ingredients!$A$2:$F$22,4,FALSE())</f>
        <v>0.27</v>
      </c>
      <c r="H27" t="str">
        <f>INDEX(Ingredients!F:F,MATCH(C27,Ingredients!A:A))</f>
        <v>Dry Goods</v>
      </c>
    </row>
    <row r="28" spans="1:8" x14ac:dyDescent="0.2">
      <c r="A28" s="4" t="s">
        <v>99</v>
      </c>
      <c r="B28" s="10" t="str">
        <f>VLOOKUP(A28,Recipes!$A$2:$B$11,2,FALSE())</f>
        <v>Banana Bread</v>
      </c>
      <c r="C28" s="4" t="s">
        <v>31</v>
      </c>
      <c r="D28" s="10" t="str">
        <f>VLOOKUP(C28,Ingredients!$A$2:$F$22,2,FALSE())</f>
        <v>Unsalted Butter</v>
      </c>
      <c r="E28" s="10" t="str">
        <f>VLOOKUP(C28,Ingredients!$A$2:$F$22,3,FALSE())</f>
        <v>g</v>
      </c>
      <c r="F28" s="4">
        <v>115</v>
      </c>
      <c r="G28" s="29">
        <f>F28*VLOOKUP(C28,Ingredients!$A$2:$F$22,4,FALSE())</f>
        <v>1.012</v>
      </c>
      <c r="H28" t="str">
        <f>INDEX(Ingredients!F:F,MATCH(C28,Ingredients!A:A))</f>
        <v>Dairy</v>
      </c>
    </row>
    <row r="29" spans="1:8" x14ac:dyDescent="0.2">
      <c r="A29" s="4" t="s">
        <v>99</v>
      </c>
      <c r="B29" s="10" t="str">
        <f>VLOOKUP(A29,Recipes!$A$2:$B$11,2,FALSE())</f>
        <v>Banana Bread</v>
      </c>
      <c r="C29" s="4" t="s">
        <v>35</v>
      </c>
      <c r="D29" s="10" t="str">
        <f>VLOOKUP(C29,Ingredients!$A$2:$F$22,2,FALSE())</f>
        <v>Large Eggs</v>
      </c>
      <c r="E29" s="10" t="str">
        <f>VLOOKUP(C29,Ingredients!$A$2:$F$22,3,FALSE())</f>
        <v>ea</v>
      </c>
      <c r="F29" s="4">
        <v>2</v>
      </c>
      <c r="G29" s="29">
        <f>F29*VLOOKUP(C29,Ingredients!$A$2:$F$22,4,FALSE())</f>
        <v>0.6</v>
      </c>
      <c r="H29" t="str">
        <f>INDEX(Ingredients!F:F,MATCH(C29,Ingredients!A:A))</f>
        <v>Dairy</v>
      </c>
    </row>
    <row r="30" spans="1:8" x14ac:dyDescent="0.2">
      <c r="A30" s="4" t="s">
        <v>99</v>
      </c>
      <c r="B30" s="10" t="str">
        <f>VLOOKUP(A30,Recipes!$A$2:$B$11,2,FALSE())</f>
        <v>Banana Bread</v>
      </c>
      <c r="C30" s="4" t="s">
        <v>56</v>
      </c>
      <c r="D30" s="10" t="str">
        <f>VLOOKUP(C30,Ingredients!$A$2:$F$22,2,FALSE())</f>
        <v>Bananas</v>
      </c>
      <c r="E30" s="10" t="str">
        <f>VLOOKUP(C30,Ingredients!$A$2:$F$22,3,FALSE())</f>
        <v>ea</v>
      </c>
      <c r="F30" s="4">
        <v>3</v>
      </c>
      <c r="G30" s="29">
        <f>F30*VLOOKUP(C30,Ingredients!$A$2:$F$22,4,FALSE())</f>
        <v>0.75</v>
      </c>
      <c r="H30" t="str">
        <f>INDEX(Ingredients!F:F,MATCH(C30,Ingredients!A:A))</f>
        <v>Produce</v>
      </c>
    </row>
    <row r="31" spans="1:8" x14ac:dyDescent="0.2">
      <c r="A31" s="4" t="s">
        <v>99</v>
      </c>
      <c r="B31" s="10" t="str">
        <f>VLOOKUP(A31,Recipes!$A$2:$B$11,2,FALSE())</f>
        <v>Banana Bread</v>
      </c>
      <c r="C31" s="4" t="s">
        <v>45</v>
      </c>
      <c r="D31" s="10" t="str">
        <f>VLOOKUP(C31,Ingredients!$A$2:$F$22,2,FALSE())</f>
        <v>Baking Soda</v>
      </c>
      <c r="E31" s="10" t="str">
        <f>VLOOKUP(C31,Ingredients!$A$2:$F$22,3,FALSE())</f>
        <v>g</v>
      </c>
      <c r="F31" s="4">
        <v>5</v>
      </c>
      <c r="G31" s="29">
        <f>F31*VLOOKUP(C31,Ingredients!$A$2:$F$22,4,FALSE())</f>
        <v>0.01</v>
      </c>
      <c r="H31" t="str">
        <f>INDEX(Ingredients!F:F,MATCH(C31,Ingredients!A:A))</f>
        <v>Dry Goods</v>
      </c>
    </row>
    <row r="32" spans="1:8" x14ac:dyDescent="0.2">
      <c r="A32" s="4" t="s">
        <v>99</v>
      </c>
      <c r="B32" s="10" t="str">
        <f>VLOOKUP(A32,Recipes!$A$2:$B$11,2,FALSE())</f>
        <v>Banana Bread</v>
      </c>
      <c r="C32" s="4" t="s">
        <v>47</v>
      </c>
      <c r="D32" s="10" t="str">
        <f>VLOOKUP(C32,Ingredients!$A$2:$F$22,2,FALSE())</f>
        <v>Salt</v>
      </c>
      <c r="E32" s="10" t="str">
        <f>VLOOKUP(C32,Ingredients!$A$2:$F$22,3,FALSE())</f>
        <v>g</v>
      </c>
      <c r="F32" s="4">
        <v>2</v>
      </c>
      <c r="G32" s="29">
        <f>F32*VLOOKUP(C32,Ingredients!$A$2:$F$22,4,FALSE())</f>
        <v>2E-3</v>
      </c>
      <c r="H32" t="str">
        <f>INDEX(Ingredients!F:F,MATCH(C32,Ingredients!A:A))</f>
        <v>Dry Goods</v>
      </c>
    </row>
    <row r="33" spans="1:8" x14ac:dyDescent="0.2">
      <c r="A33" s="4" t="s">
        <v>102</v>
      </c>
      <c r="B33" s="10" t="str">
        <f>VLOOKUP(A33,Recipes!$A$2:$B$11,2,FALSE())</f>
        <v>Sugar Cookies</v>
      </c>
      <c r="C33" s="4" t="s">
        <v>24</v>
      </c>
      <c r="D33" s="10" t="str">
        <f>VLOOKUP(C33,Ingredients!$A$2:$F$22,2,FALSE())</f>
        <v>All-Purpose Flour</v>
      </c>
      <c r="E33" s="10" t="str">
        <f>VLOOKUP(C33,Ingredients!$A$2:$F$22,3,FALSE())</f>
        <v>g</v>
      </c>
      <c r="F33" s="4">
        <v>300</v>
      </c>
      <c r="G33" s="29">
        <f>F33*VLOOKUP(C33,Ingredients!$A$2:$F$22,4,FALSE())</f>
        <v>0.66</v>
      </c>
      <c r="H33" t="str">
        <f>INDEX(Ingredients!F:F,MATCH(C33,Ingredients!A:A))</f>
        <v>Dry Goods</v>
      </c>
    </row>
    <row r="34" spans="1:8" x14ac:dyDescent="0.2">
      <c r="A34" s="4" t="s">
        <v>102</v>
      </c>
      <c r="B34" s="10" t="str">
        <f>VLOOKUP(A34,Recipes!$A$2:$B$11,2,FALSE())</f>
        <v>Sugar Cookies</v>
      </c>
      <c r="C34" s="4" t="s">
        <v>29</v>
      </c>
      <c r="D34" s="10" t="str">
        <f>VLOOKUP(C34,Ingredients!$A$2:$F$22,2,FALSE())</f>
        <v>Granulated Sugar</v>
      </c>
      <c r="E34" s="10" t="str">
        <f>VLOOKUP(C34,Ingredients!$A$2:$F$22,3,FALSE())</f>
        <v>g</v>
      </c>
      <c r="F34" s="4">
        <v>200</v>
      </c>
      <c r="G34" s="29">
        <f>F34*VLOOKUP(C34,Ingredients!$A$2:$F$22,4,FALSE())</f>
        <v>0.36</v>
      </c>
      <c r="H34" t="str">
        <f>INDEX(Ingredients!F:F,MATCH(C34,Ingredients!A:A))</f>
        <v>Dry Goods</v>
      </c>
    </row>
    <row r="35" spans="1:8" x14ac:dyDescent="0.2">
      <c r="A35" s="4" t="s">
        <v>102</v>
      </c>
      <c r="B35" s="10" t="str">
        <f>VLOOKUP(A35,Recipes!$A$2:$B$11,2,FALSE())</f>
        <v>Sugar Cookies</v>
      </c>
      <c r="C35" s="4" t="s">
        <v>31</v>
      </c>
      <c r="D35" s="10" t="str">
        <f>VLOOKUP(C35,Ingredients!$A$2:$F$22,2,FALSE())</f>
        <v>Unsalted Butter</v>
      </c>
      <c r="E35" s="10" t="str">
        <f>VLOOKUP(C35,Ingredients!$A$2:$F$22,3,FALSE())</f>
        <v>g</v>
      </c>
      <c r="F35" s="4">
        <v>225</v>
      </c>
      <c r="G35" s="29">
        <f>F35*VLOOKUP(C35,Ingredients!$A$2:$F$22,4,FALSE())</f>
        <v>1.9800000000000002</v>
      </c>
      <c r="H35" t="str">
        <f>INDEX(Ingredients!F:F,MATCH(C35,Ingredients!A:A))</f>
        <v>Dairy</v>
      </c>
    </row>
    <row r="36" spans="1:8" x14ac:dyDescent="0.2">
      <c r="A36" s="4" t="s">
        <v>102</v>
      </c>
      <c r="B36" s="10" t="str">
        <f>VLOOKUP(A36,Recipes!$A$2:$B$11,2,FALSE())</f>
        <v>Sugar Cookies</v>
      </c>
      <c r="C36" s="4" t="s">
        <v>35</v>
      </c>
      <c r="D36" s="10" t="str">
        <f>VLOOKUP(C36,Ingredients!$A$2:$F$22,2,FALSE())</f>
        <v>Large Eggs</v>
      </c>
      <c r="E36" s="10" t="str">
        <f>VLOOKUP(C36,Ingredients!$A$2:$F$22,3,FALSE())</f>
        <v>ea</v>
      </c>
      <c r="F36" s="4">
        <v>1</v>
      </c>
      <c r="G36" s="29">
        <f>F36*VLOOKUP(C36,Ingredients!$A$2:$F$22,4,FALSE())</f>
        <v>0.3</v>
      </c>
      <c r="H36" t="str">
        <f>INDEX(Ingredients!F:F,MATCH(C36,Ingredients!A:A))</f>
        <v>Dairy</v>
      </c>
    </row>
    <row r="37" spans="1:8" x14ac:dyDescent="0.2">
      <c r="A37" s="4" t="s">
        <v>102</v>
      </c>
      <c r="B37" s="10" t="str">
        <f>VLOOKUP(A37,Recipes!$A$2:$B$11,2,FALSE())</f>
        <v>Sugar Cookies</v>
      </c>
      <c r="C37" s="4" t="s">
        <v>42</v>
      </c>
      <c r="D37" s="10" t="str">
        <f>VLOOKUP(C37,Ingredients!$A$2:$F$22,2,FALSE())</f>
        <v>Vanilla Extract</v>
      </c>
      <c r="E37" s="10" t="str">
        <f>VLOOKUP(C37,Ingredients!$A$2:$F$22,3,FALSE())</f>
        <v>ml</v>
      </c>
      <c r="F37" s="4">
        <v>5</v>
      </c>
      <c r="G37" s="29">
        <f>F37*VLOOKUP(C37,Ingredients!$A$2:$F$22,4,FALSE())</f>
        <v>0.4</v>
      </c>
      <c r="H37" t="str">
        <f>INDEX(Ingredients!F:F,MATCH(C37,Ingredients!A:A))</f>
        <v>Dry Goods</v>
      </c>
    </row>
    <row r="38" spans="1:8" x14ac:dyDescent="0.2">
      <c r="A38" s="4" t="s">
        <v>102</v>
      </c>
      <c r="B38" s="10" t="str">
        <f>VLOOKUP(A38,Recipes!$A$2:$B$11,2,FALSE())</f>
        <v>Sugar Cookies</v>
      </c>
      <c r="C38" s="4" t="s">
        <v>67</v>
      </c>
      <c r="D38" s="10" t="str">
        <f>VLOOKUP(C38,Ingredients!$A$2:$F$22,2,FALSE())</f>
        <v>Baking Powder</v>
      </c>
      <c r="E38" s="10" t="str">
        <f>VLOOKUP(C38,Ingredients!$A$2:$F$22,3,FALSE())</f>
        <v>g</v>
      </c>
      <c r="F38" s="4">
        <v>5</v>
      </c>
      <c r="G38" s="29">
        <f>F38*VLOOKUP(C38,Ingredients!$A$2:$F$22,4,FALSE())</f>
        <v>0.02</v>
      </c>
      <c r="H38" t="str">
        <f>INDEX(Ingredients!F:F,MATCH(C38,Ingredients!A:A))</f>
        <v>Dry Goods</v>
      </c>
    </row>
    <row r="39" spans="1:8" x14ac:dyDescent="0.2">
      <c r="A39" s="4" t="s">
        <v>102</v>
      </c>
      <c r="B39" s="10" t="str">
        <f>VLOOKUP(A39,Recipes!$A$2:$B$11,2,FALSE())</f>
        <v>Sugar Cookies</v>
      </c>
      <c r="C39" s="4" t="s">
        <v>47</v>
      </c>
      <c r="D39" s="10" t="str">
        <f>VLOOKUP(C39,Ingredients!$A$2:$F$22,2,FALSE())</f>
        <v>Salt</v>
      </c>
      <c r="E39" s="10" t="str">
        <f>VLOOKUP(C39,Ingredients!$A$2:$F$22,3,FALSE())</f>
        <v>g</v>
      </c>
      <c r="F39" s="4">
        <v>2</v>
      </c>
      <c r="G39" s="29">
        <f>F39*VLOOKUP(C39,Ingredients!$A$2:$F$22,4,FALSE())</f>
        <v>2E-3</v>
      </c>
      <c r="H39" t="str">
        <f>INDEX(Ingredients!F:F,MATCH(C39,Ingredients!A:A))</f>
        <v>Dry Goods</v>
      </c>
    </row>
    <row r="40" spans="1:8" x14ac:dyDescent="0.2">
      <c r="A40" s="4" t="s">
        <v>104</v>
      </c>
      <c r="B40" s="10" t="str">
        <f>VLOOKUP(A40,Recipes!$A$2:$B$11,2,FALSE())</f>
        <v>Latte</v>
      </c>
      <c r="C40" s="4" t="s">
        <v>60</v>
      </c>
      <c r="D40" s="10" t="str">
        <f>VLOOKUP(C40,Ingredients!$A$2:$F$22,2,FALSE())</f>
        <v>Espresso Beans</v>
      </c>
      <c r="E40" s="10" t="str">
        <f>VLOOKUP(C40,Ingredients!$A$2:$F$22,3,FALSE())</f>
        <v>g</v>
      </c>
      <c r="F40" s="4">
        <v>18</v>
      </c>
      <c r="G40" s="29">
        <f>F40*VLOOKUP(C40,Ingredients!$A$2:$F$22,4,FALSE())</f>
        <v>0.45</v>
      </c>
      <c r="H40" t="str">
        <f>INDEX(Ingredients!F:F,MATCH(C40,Ingredients!A:A))</f>
        <v>Dry Goods</v>
      </c>
    </row>
    <row r="41" spans="1:8" x14ac:dyDescent="0.2">
      <c r="A41" s="4" t="s">
        <v>104</v>
      </c>
      <c r="B41" s="10" t="str">
        <f>VLOOKUP(A41,Recipes!$A$2:$B$11,2,FALSE())</f>
        <v>Latte</v>
      </c>
      <c r="C41" s="4" t="s">
        <v>58</v>
      </c>
      <c r="D41" s="10" t="str">
        <f>VLOOKUP(C41,Ingredients!$A$2:$F$22,2,FALSE())</f>
        <v>Milk</v>
      </c>
      <c r="E41" s="10" t="str">
        <f>VLOOKUP(C41,Ingredients!$A$2:$F$22,3,FALSE())</f>
        <v>ml</v>
      </c>
      <c r="F41" s="4">
        <v>200</v>
      </c>
      <c r="G41" s="29">
        <f>F41*VLOOKUP(C41,Ingredients!$A$2:$F$22,4,FALSE())</f>
        <v>0.22</v>
      </c>
      <c r="H41" t="str">
        <f>INDEX(Ingredients!F:F,MATCH(C41,Ingredients!A:A))</f>
        <v>Dairy</v>
      </c>
    </row>
    <row r="42" spans="1:8" x14ac:dyDescent="0.2">
      <c r="A42" s="4" t="s">
        <v>108</v>
      </c>
      <c r="B42" s="10" t="str">
        <f>VLOOKUP(A42,Recipes!$A$2:$B$11,2,FALSE())</f>
        <v>Cappuccino</v>
      </c>
      <c r="C42" s="4" t="s">
        <v>60</v>
      </c>
      <c r="D42" s="10" t="str">
        <f>VLOOKUP(C42,Ingredients!$A$2:$F$22,2,FALSE())</f>
        <v>Espresso Beans</v>
      </c>
      <c r="E42" s="10" t="str">
        <f>VLOOKUP(C42,Ingredients!$A$2:$F$22,3,FALSE())</f>
        <v>g</v>
      </c>
      <c r="F42" s="4">
        <v>18</v>
      </c>
      <c r="G42" s="29">
        <f>F42*VLOOKUP(C42,Ingredients!$A$2:$F$22,4,FALSE())</f>
        <v>0.45</v>
      </c>
      <c r="H42" t="str">
        <f>INDEX(Ingredients!F:F,MATCH(C42,Ingredients!A:A))</f>
        <v>Dry Goods</v>
      </c>
    </row>
    <row r="43" spans="1:8" x14ac:dyDescent="0.2">
      <c r="A43" s="4" t="s">
        <v>108</v>
      </c>
      <c r="B43" s="10" t="str">
        <f>VLOOKUP(A43,Recipes!$A$2:$B$11,2,FALSE())</f>
        <v>Cappuccino</v>
      </c>
      <c r="C43" s="4" t="s">
        <v>58</v>
      </c>
      <c r="D43" s="10" t="str">
        <f>VLOOKUP(C43,Ingredients!$A$2:$F$22,2,FALSE())</f>
        <v>Milk</v>
      </c>
      <c r="E43" s="10" t="str">
        <f>VLOOKUP(C43,Ingredients!$A$2:$F$22,3,FALSE())</f>
        <v>ml</v>
      </c>
      <c r="F43" s="4">
        <v>120</v>
      </c>
      <c r="G43" s="29">
        <f>F43*VLOOKUP(C43,Ingredients!$A$2:$F$22,4,FALSE())</f>
        <v>0.13200000000000001</v>
      </c>
      <c r="H43" t="str">
        <f>INDEX(Ingredients!F:F,MATCH(C43,Ingredients!A:A))</f>
        <v>Dairy</v>
      </c>
    </row>
    <row r="44" spans="1:8" x14ac:dyDescent="0.2">
      <c r="A44" s="4" t="s">
        <v>110</v>
      </c>
      <c r="B44" s="10" t="str">
        <f>VLOOKUP(A44,Recipes!$A$2:$B$11,2,FALSE())</f>
        <v>Iced Tea</v>
      </c>
      <c r="C44" s="4" t="s">
        <v>63</v>
      </c>
      <c r="D44" s="10" t="str">
        <f>VLOOKUP(C44,Ingredients!$A$2:$F$22,2,FALSE())</f>
        <v>Black Tea Bags</v>
      </c>
      <c r="E44" s="10" t="str">
        <f>VLOOKUP(C44,Ingredients!$A$2:$F$22,3,FALSE())</f>
        <v>ea</v>
      </c>
      <c r="F44" s="4">
        <v>1</v>
      </c>
      <c r="G44" s="29">
        <f>F44*VLOOKUP(C44,Ingredients!$A$2:$F$22,4,FALSE())</f>
        <v>0.1</v>
      </c>
      <c r="H44" t="str">
        <f>INDEX(Ingredients!F:F,MATCH(C44,Ingredients!A:A))</f>
        <v>Dry Goods</v>
      </c>
    </row>
    <row r="45" spans="1:8" x14ac:dyDescent="0.2">
      <c r="A45" s="4" t="s">
        <v>110</v>
      </c>
      <c r="B45" s="10" t="str">
        <f>VLOOKUP(A45,Recipes!$A$2:$B$11,2,FALSE())</f>
        <v>Iced Tea</v>
      </c>
      <c r="C45" s="4" t="s">
        <v>73</v>
      </c>
      <c r="D45" s="10" t="str">
        <f>VLOOKUP(C45,Ingredients!$A$2:$F$22,2,FALSE())</f>
        <v>Water</v>
      </c>
      <c r="E45" s="10" t="str">
        <f>VLOOKUP(C45,Ingredients!$A$2:$F$22,3,FALSE())</f>
        <v>ml</v>
      </c>
      <c r="F45" s="4">
        <v>350</v>
      </c>
      <c r="G45" s="29">
        <f>F45*VLOOKUP(C45,Ingredients!$A$2:$F$22,4,FALSE())</f>
        <v>3.5000000000000003E-2</v>
      </c>
      <c r="H45" t="str">
        <f>INDEX(Ingredients!F:F,MATCH(C45,Ingredients!A:A))</f>
        <v>Free/Negligible</v>
      </c>
    </row>
    <row r="46" spans="1:8" x14ac:dyDescent="0.2">
      <c r="A46" s="4" t="s">
        <v>110</v>
      </c>
      <c r="B46" s="10" t="str">
        <f>VLOOKUP(A46,Recipes!$A$2:$B$11,2,FALSE())</f>
        <v>Iced Tea</v>
      </c>
      <c r="C46" s="4" t="s">
        <v>77</v>
      </c>
      <c r="D46" s="10" t="str">
        <f>VLOOKUP(C46,Ingredients!$A$2:$F$22,2,FALSE())</f>
        <v>Ice</v>
      </c>
      <c r="E46" s="10" t="str">
        <f>VLOOKUP(C46,Ingredients!$A$2:$F$22,3,FALSE())</f>
        <v>g</v>
      </c>
      <c r="F46" s="4">
        <v>100</v>
      </c>
      <c r="G46" s="29">
        <f>F46*VLOOKUP(C46,Ingredients!$A$2:$F$22,4,FALSE())</f>
        <v>0.02</v>
      </c>
      <c r="H46" t="str">
        <f>INDEX(Ingredients!F:F,MATCH(C46,Ingredients!A:A))</f>
        <v>Free/Negligible</v>
      </c>
    </row>
    <row r="47" spans="1:8" x14ac:dyDescent="0.2">
      <c r="A47" s="4" t="s">
        <v>113</v>
      </c>
      <c r="B47" s="10" t="str">
        <f>VLOOKUP(A47,Recipes!$A$2:$B$11,2,FALSE())</f>
        <v>Blueberry Muffin</v>
      </c>
      <c r="C47" s="4" t="s">
        <v>24</v>
      </c>
      <c r="D47" s="10" t="str">
        <f>VLOOKUP(C47,Ingredients!$A$2:$F$22,2,FALSE())</f>
        <v>All-Purpose Flour</v>
      </c>
      <c r="E47" s="10" t="str">
        <f>VLOOKUP(C47,Ingredients!$A$2:$F$22,3,FALSE())</f>
        <v>g</v>
      </c>
      <c r="F47" s="4">
        <v>300</v>
      </c>
      <c r="G47" s="29">
        <f>F47*VLOOKUP(C47,Ingredients!$A$2:$F$22,4,FALSE())</f>
        <v>0.66</v>
      </c>
      <c r="H47" t="str">
        <f>INDEX(Ingredients!F:F,MATCH(C47,Ingredients!A:A))</f>
        <v>Dry Goods</v>
      </c>
    </row>
    <row r="48" spans="1:8" x14ac:dyDescent="0.2">
      <c r="A48" s="4" t="s">
        <v>113</v>
      </c>
      <c r="B48" s="10" t="str">
        <f>VLOOKUP(A48,Recipes!$A$2:$B$11,2,FALSE())</f>
        <v>Blueberry Muffin</v>
      </c>
      <c r="C48" s="4" t="s">
        <v>29</v>
      </c>
      <c r="D48" s="10" t="str">
        <f>VLOOKUP(C48,Ingredients!$A$2:$F$22,2,FALSE())</f>
        <v>Granulated Sugar</v>
      </c>
      <c r="E48" s="10" t="str">
        <f>VLOOKUP(C48,Ingredients!$A$2:$F$22,3,FALSE())</f>
        <v>g</v>
      </c>
      <c r="F48" s="4">
        <v>200</v>
      </c>
      <c r="G48" s="29">
        <f>F48*VLOOKUP(C48,Ingredients!$A$2:$F$22,4,FALSE())</f>
        <v>0.36</v>
      </c>
      <c r="H48" t="str">
        <f>INDEX(Ingredients!F:F,MATCH(C48,Ingredients!A:A))</f>
        <v>Dry Goods</v>
      </c>
    </row>
    <row r="49" spans="1:8" x14ac:dyDescent="0.2">
      <c r="A49" s="4" t="s">
        <v>113</v>
      </c>
      <c r="B49" s="10" t="str">
        <f>VLOOKUP(A49,Recipes!$A$2:$B$11,2,FALSE())</f>
        <v>Blueberry Muffin</v>
      </c>
      <c r="C49" s="4" t="s">
        <v>31</v>
      </c>
      <c r="D49" s="10" t="str">
        <f>VLOOKUP(C49,Ingredients!$A$2:$F$22,2,FALSE())</f>
        <v>Unsalted Butter</v>
      </c>
      <c r="E49" s="10" t="str">
        <f>VLOOKUP(C49,Ingredients!$A$2:$F$22,3,FALSE())</f>
        <v>g</v>
      </c>
      <c r="F49" s="4">
        <v>115</v>
      </c>
      <c r="G49" s="29">
        <f>F49*VLOOKUP(C49,Ingredients!$A$2:$F$22,4,FALSE())</f>
        <v>1.012</v>
      </c>
      <c r="H49" t="str">
        <f>INDEX(Ingredients!F:F,MATCH(C49,Ingredients!A:A))</f>
        <v>Dairy</v>
      </c>
    </row>
    <row r="50" spans="1:8" x14ac:dyDescent="0.2">
      <c r="A50" s="4" t="s">
        <v>113</v>
      </c>
      <c r="B50" s="10" t="str">
        <f>VLOOKUP(A50,Recipes!$A$2:$B$11,2,FALSE())</f>
        <v>Blueberry Muffin</v>
      </c>
      <c r="C50" s="4" t="s">
        <v>35</v>
      </c>
      <c r="D50" s="10" t="str">
        <f>VLOOKUP(C50,Ingredients!$A$2:$F$22,2,FALSE())</f>
        <v>Large Eggs</v>
      </c>
      <c r="E50" s="10" t="str">
        <f>VLOOKUP(C50,Ingredients!$A$2:$F$22,3,FALSE())</f>
        <v>ea</v>
      </c>
      <c r="F50" s="4">
        <v>2</v>
      </c>
      <c r="G50" s="29">
        <f>F50*VLOOKUP(C50,Ingredients!$A$2:$F$22,4,FALSE())</f>
        <v>0.6</v>
      </c>
      <c r="H50" t="str">
        <f>INDEX(Ingredients!F:F,MATCH(C50,Ingredients!A:A))</f>
        <v>Dairy</v>
      </c>
    </row>
    <row r="51" spans="1:8" x14ac:dyDescent="0.2">
      <c r="A51" s="4" t="s">
        <v>113</v>
      </c>
      <c r="B51" s="10" t="str">
        <f>VLOOKUP(A51,Recipes!$A$2:$B$11,2,FALSE())</f>
        <v>Blueberry Muffin</v>
      </c>
      <c r="C51" s="4" t="s">
        <v>58</v>
      </c>
      <c r="D51" s="10" t="str">
        <f>VLOOKUP(C51,Ingredients!$A$2:$F$22,2,FALSE())</f>
        <v>Milk</v>
      </c>
      <c r="E51" s="10" t="str">
        <f>VLOOKUP(C51,Ingredients!$A$2:$F$22,3,FALSE())</f>
        <v>ml</v>
      </c>
      <c r="F51" s="4">
        <v>180</v>
      </c>
      <c r="G51" s="29">
        <f>F51*VLOOKUP(C51,Ingredients!$A$2:$F$22,4,FALSE())</f>
        <v>0.19800000000000001</v>
      </c>
      <c r="H51" t="str">
        <f>INDEX(Ingredients!F:F,MATCH(C51,Ingredients!A:A))</f>
        <v>Dairy</v>
      </c>
    </row>
    <row r="52" spans="1:8" x14ac:dyDescent="0.2">
      <c r="A52" s="4" t="s">
        <v>113</v>
      </c>
      <c r="B52" s="10" t="str">
        <f>VLOOKUP(A52,Recipes!$A$2:$B$11,2,FALSE())</f>
        <v>Blueberry Muffin</v>
      </c>
      <c r="C52" s="4" t="s">
        <v>67</v>
      </c>
      <c r="D52" s="10" t="str">
        <f>VLOOKUP(C52,Ingredients!$A$2:$F$22,2,FALSE())</f>
        <v>Baking Powder</v>
      </c>
      <c r="E52" s="10" t="str">
        <f>VLOOKUP(C52,Ingredients!$A$2:$F$22,3,FALSE())</f>
        <v>g</v>
      </c>
      <c r="F52" s="4">
        <v>8</v>
      </c>
      <c r="G52" s="29">
        <f>F52*VLOOKUP(C52,Ingredients!$A$2:$F$22,4,FALSE())</f>
        <v>3.2000000000000001E-2</v>
      </c>
      <c r="H52" t="str">
        <f>INDEX(Ingredients!F:F,MATCH(C52,Ingredients!A:A))</f>
        <v>Dry Goods</v>
      </c>
    </row>
    <row r="53" spans="1:8" x14ac:dyDescent="0.2">
      <c r="A53" s="4" t="s">
        <v>113</v>
      </c>
      <c r="B53" s="10" t="str">
        <f>VLOOKUP(A53,Recipes!$A$2:$B$11,2,FALSE())</f>
        <v>Blueberry Muffin</v>
      </c>
      <c r="C53" s="4" t="s">
        <v>47</v>
      </c>
      <c r="D53" s="10" t="str">
        <f>VLOOKUP(C53,Ingredients!$A$2:$F$22,2,FALSE())</f>
        <v>Salt</v>
      </c>
      <c r="E53" s="10" t="str">
        <f>VLOOKUP(C53,Ingredients!$A$2:$F$22,3,FALSE())</f>
        <v>g</v>
      </c>
      <c r="F53" s="4">
        <v>3</v>
      </c>
      <c r="G53" s="29">
        <f>F53*VLOOKUP(C53,Ingredients!$A$2:$F$22,4,FALSE())</f>
        <v>3.0000000000000001E-3</v>
      </c>
      <c r="H53" t="str">
        <f>INDEX(Ingredients!F:F,MATCH(C53,Ingredients!A:A))</f>
        <v>Dry Goods</v>
      </c>
    </row>
    <row r="54" spans="1:8" x14ac:dyDescent="0.2">
      <c r="A54" s="4" t="s">
        <v>113</v>
      </c>
      <c r="B54" s="10" t="str">
        <f>VLOOKUP(A54,Recipes!$A$2:$B$11,2,FALSE())</f>
        <v>Blueberry Muffin</v>
      </c>
      <c r="C54" s="4" t="s">
        <v>65</v>
      </c>
      <c r="D54" s="10" t="str">
        <f>VLOOKUP(C54,Ingredients!$A$2:$F$22,2,FALSE())</f>
        <v>Blueberries</v>
      </c>
      <c r="E54" s="10" t="str">
        <f>VLOOKUP(C54,Ingredients!$A$2:$F$22,3,FALSE())</f>
        <v>g</v>
      </c>
      <c r="F54" s="4">
        <v>200</v>
      </c>
      <c r="G54" s="29">
        <f>F54*VLOOKUP(C54,Ingredients!$A$2:$F$22,4,FALSE())</f>
        <v>1.6</v>
      </c>
      <c r="H54" t="str">
        <f>INDEX(Ingredients!F:F,MATCH(C54,Ingredients!A:A))</f>
        <v>Produce</v>
      </c>
    </row>
    <row r="55" spans="1:8" x14ac:dyDescent="0.2">
      <c r="A55" s="4" t="s">
        <v>116</v>
      </c>
      <c r="B55" s="10" t="str">
        <f>VLOOKUP(A55,Recipes!$A$2:$B$11,2,FALSE())</f>
        <v>Chicken Tex-Mex Tray</v>
      </c>
      <c r="C55" s="4" t="s">
        <v>69</v>
      </c>
      <c r="D55" s="10" t="str">
        <f>VLOOKUP(C55,Ingredients!$A$2:$F$22,2,FALSE())</f>
        <v>Chicken Breast</v>
      </c>
      <c r="E55" s="10" t="str">
        <f>VLOOKUP(C55,Ingredients!$A$2:$F$22,3,FALSE())</f>
        <v>g</v>
      </c>
      <c r="F55" s="4">
        <v>5000</v>
      </c>
      <c r="G55" s="29">
        <f>F55*VLOOKUP(C55,Ingredients!$A$2:$F$22,4,FALSE())</f>
        <v>44</v>
      </c>
      <c r="H55" t="str">
        <f>INDEX(Ingredients!F:F,MATCH(C55,Ingredients!A:A))</f>
        <v>Protein</v>
      </c>
    </row>
    <row r="56" spans="1:8" x14ac:dyDescent="0.2">
      <c r="A56" s="4" t="s">
        <v>116</v>
      </c>
      <c r="B56" s="10" t="str">
        <f>VLOOKUP(A56,Recipes!$A$2:$B$11,2,FALSE())</f>
        <v>Chicken Tex-Mex Tray</v>
      </c>
      <c r="C56" s="4" t="s">
        <v>73</v>
      </c>
      <c r="D56" s="10" t="str">
        <f>VLOOKUP(C56,Ingredients!$A$2:$F$22,2,FALSE())</f>
        <v>Water</v>
      </c>
      <c r="E56" s="10" t="str">
        <f>VLOOKUP(C56,Ingredients!$A$2:$F$22,3,FALSE())</f>
        <v>ml</v>
      </c>
      <c r="F56" s="4">
        <v>2000</v>
      </c>
      <c r="G56" s="29">
        <f>F56*VLOOKUP(C56,Ingredients!$A$2:$F$22,4,FALSE())</f>
        <v>0.2</v>
      </c>
      <c r="H56" t="str">
        <f>INDEX(Ingredients!F:F,MATCH(C56,Ingredients!A:A))</f>
        <v>Free/Negligible</v>
      </c>
    </row>
    <row r="57" spans="1:8" x14ac:dyDescent="0.2">
      <c r="A57" s="4" t="s">
        <v>116</v>
      </c>
      <c r="B57" s="10" t="str">
        <f>VLOOKUP(A57,Recipes!$A$2:$B$11,2,FALSE())</f>
        <v>Chicken Tex-Mex Tray</v>
      </c>
      <c r="C57" s="4" t="s">
        <v>47</v>
      </c>
      <c r="D57" s="10" t="str">
        <f>VLOOKUP(C57,Ingredients!$A$2:$F$22,2,FALSE())</f>
        <v>Salt</v>
      </c>
      <c r="E57" s="10" t="str">
        <f>VLOOKUP(C57,Ingredients!$A$2:$F$22,3,FALSE())</f>
        <v>g</v>
      </c>
      <c r="F57" s="4">
        <v>30</v>
      </c>
      <c r="G57" s="29">
        <f>F57*VLOOKUP(C57,Ingredients!$A$2:$F$22,4,FALSE())</f>
        <v>0.03</v>
      </c>
      <c r="H57" t="str">
        <f>INDEX(Ingredients!F:F,MATCH(C57,Ingredients!A:A))</f>
        <v>Dry Goods</v>
      </c>
    </row>
    <row r="58" spans="1:8" x14ac:dyDescent="0.2">
      <c r="B58" s="10" t="str">
        <f>IF(A58="","",VLOOKUP(A58,Recipes!$A$2:$B$11,2,FALSE()))</f>
        <v/>
      </c>
      <c r="D58" s="10" t="str">
        <f>IF(C58="","",VLOOKUP(C58,Ingredients!$A$2:$F$22,2,FALSE()))</f>
        <v/>
      </c>
      <c r="E58" s="10" t="str">
        <f>IF(C58="","",VLOOKUP(C58,Ingredients!$A$2:$F$22,3,FALSE()))</f>
        <v/>
      </c>
      <c r="G58" s="29" t="str">
        <f>IF(OR(C58="",F58=""),"",F58*VLOOKUP(C58,Ingredients!$A$2:$F$22,4,FALSE()))</f>
        <v/>
      </c>
      <c r="H58" t="e">
        <f>INDEX(Ingredients!F:F,MATCH(C58,Ingredients!A:A))</f>
        <v>#N/A</v>
      </c>
    </row>
    <row r="59" spans="1:8" x14ac:dyDescent="0.2">
      <c r="B59" s="10" t="str">
        <f>IF(A59="","",VLOOKUP(A59,Recipes!$A$2:$B$11,2,FALSE()))</f>
        <v/>
      </c>
      <c r="D59" s="10" t="str">
        <f>IF(C59="","",VLOOKUP(C59,Ingredients!$A$2:$F$22,2,FALSE()))</f>
        <v/>
      </c>
      <c r="E59" s="10" t="str">
        <f>IF(C59="","",VLOOKUP(C59,Ingredients!$A$2:$F$22,3,FALSE()))</f>
        <v/>
      </c>
      <c r="G59" s="29" t="str">
        <f>IF(OR(C59="",F59=""),"",F59*VLOOKUP(C59,Ingredients!$A$2:$F$22,4,FALSE()))</f>
        <v/>
      </c>
      <c r="H59" t="e">
        <f>INDEX(Ingredients!F:F,MATCH(C59,Ingredients!A:A))</f>
        <v>#N/A</v>
      </c>
    </row>
    <row r="60" spans="1:8" x14ac:dyDescent="0.2">
      <c r="B60" s="10" t="str">
        <f>IF(A60="","",VLOOKUP(A60,Recipes!$A$2:$B$11,2,FALSE()))</f>
        <v/>
      </c>
      <c r="D60" s="10" t="str">
        <f>IF(C60="","",VLOOKUP(C60,Ingredients!$A$2:$F$22,2,FALSE()))</f>
        <v/>
      </c>
      <c r="E60" s="10" t="str">
        <f>IF(C60="","",VLOOKUP(C60,Ingredients!$A$2:$F$22,3,FALSE()))</f>
        <v/>
      </c>
      <c r="G60" s="29" t="str">
        <f>IF(OR(C60="",F60=""),"",F60*VLOOKUP(C60,Ingredients!$A$2:$F$22,4,FALSE()))</f>
        <v/>
      </c>
      <c r="H60" t="e">
        <f>INDEX(Ingredients!F:F,MATCH(C60,Ingredients!A:A))</f>
        <v>#N/A</v>
      </c>
    </row>
    <row r="61" spans="1:8" x14ac:dyDescent="0.2">
      <c r="B61" s="10" t="str">
        <f>IF(A61="","",VLOOKUP(A61,Recipes!$A$2:$B$11,2,FALSE()))</f>
        <v/>
      </c>
      <c r="D61" s="10" t="str">
        <f>IF(C61="","",VLOOKUP(C61,Ingredients!$A$2:$F$22,2,FALSE()))</f>
        <v/>
      </c>
      <c r="E61" s="10" t="str">
        <f>IF(C61="","",VLOOKUP(C61,Ingredients!$A$2:$F$22,3,FALSE()))</f>
        <v/>
      </c>
      <c r="G61" s="29" t="str">
        <f>IF(OR(C61="",F61=""),"",F61*VLOOKUP(C61,Ingredients!$A$2:$F$22,4,FALSE()))</f>
        <v/>
      </c>
      <c r="H61" t="e">
        <f>INDEX(Ingredients!F:F,MATCH(C61,Ingredients!A:A))</f>
        <v>#N/A</v>
      </c>
    </row>
    <row r="62" spans="1:8" x14ac:dyDescent="0.2">
      <c r="B62" s="10" t="str">
        <f>IF(A62="","",VLOOKUP(A62,Recipes!$A$2:$B$11,2,FALSE()))</f>
        <v/>
      </c>
      <c r="D62" s="10" t="str">
        <f>IF(C62="","",VLOOKUP(C62,Ingredients!$A$2:$F$22,2,FALSE()))</f>
        <v/>
      </c>
      <c r="E62" s="10" t="str">
        <f>IF(C62="","",VLOOKUP(C62,Ingredients!$A$2:$F$22,3,FALSE()))</f>
        <v/>
      </c>
      <c r="G62" s="29" t="str">
        <f>IF(OR(C62="",F62=""),"",F62*VLOOKUP(C62,Ingredients!$A$2:$F$22,4,FALSE()))</f>
        <v/>
      </c>
      <c r="H62" t="e">
        <f>INDEX(Ingredients!F:F,MATCH(C62,Ingredients!A:A))</f>
        <v>#N/A</v>
      </c>
    </row>
    <row r="63" spans="1:8" x14ac:dyDescent="0.2">
      <c r="B63" s="10" t="str">
        <f>IF(A63="","",VLOOKUP(A63,Recipes!$A$2:$B$11,2,FALSE()))</f>
        <v/>
      </c>
      <c r="D63" s="10" t="str">
        <f>IF(C63="","",VLOOKUP(C63,Ingredients!$A$2:$F$22,2,FALSE()))</f>
        <v/>
      </c>
      <c r="E63" s="10" t="str">
        <f>IF(C63="","",VLOOKUP(C63,Ingredients!$A$2:$F$22,3,FALSE()))</f>
        <v/>
      </c>
      <c r="G63" s="29" t="str">
        <f>IF(OR(C63="",F63=""),"",F63*VLOOKUP(C63,Ingredients!$A$2:$F$22,4,FALSE()))</f>
        <v/>
      </c>
      <c r="H63" t="e">
        <f>INDEX(Ingredients!F:F,MATCH(C63,Ingredients!A:A))</f>
        <v>#N/A</v>
      </c>
    </row>
    <row r="64" spans="1:8" x14ac:dyDescent="0.2">
      <c r="B64" s="10" t="str">
        <f>IF(A64="","",VLOOKUP(A64,Recipes!$A$2:$B$11,2,FALSE()))</f>
        <v/>
      </c>
      <c r="D64" s="10" t="str">
        <f>IF(C64="","",VLOOKUP(C64,Ingredients!$A$2:$F$22,2,FALSE()))</f>
        <v/>
      </c>
      <c r="E64" s="10" t="str">
        <f>IF(C64="","",VLOOKUP(C64,Ingredients!$A$2:$F$22,3,FALSE()))</f>
        <v/>
      </c>
      <c r="G64" s="29" t="str">
        <f>IF(OR(C64="",F64=""),"",F64*VLOOKUP(C64,Ingredients!$A$2:$F$22,4,FALSE()))</f>
        <v/>
      </c>
      <c r="H64" t="e">
        <f>INDEX(Ingredients!F:F,MATCH(C64,Ingredients!A:A))</f>
        <v>#N/A</v>
      </c>
    </row>
    <row r="65" spans="2:8" x14ac:dyDescent="0.2">
      <c r="B65" s="10" t="str">
        <f>IF(A65="","",VLOOKUP(A65,Recipes!$A$2:$B$11,2,FALSE()))</f>
        <v/>
      </c>
      <c r="D65" s="10" t="str">
        <f>IF(C65="","",VLOOKUP(C65,Ingredients!$A$2:$F$22,2,FALSE()))</f>
        <v/>
      </c>
      <c r="E65" s="10" t="str">
        <f>IF(C65="","",VLOOKUP(C65,Ingredients!$A$2:$F$22,3,FALSE()))</f>
        <v/>
      </c>
      <c r="G65" s="29" t="str">
        <f>IF(OR(C65="",F65=""),"",F65*VLOOKUP(C65,Ingredients!$A$2:$F$22,4,FALSE()))</f>
        <v/>
      </c>
      <c r="H65" t="e">
        <f>INDEX(Ingredients!F:F,MATCH(C65,Ingredients!A:A))</f>
        <v>#N/A</v>
      </c>
    </row>
    <row r="66" spans="2:8" x14ac:dyDescent="0.2">
      <c r="B66" s="10" t="str">
        <f>IF(A66="","",VLOOKUP(A66,Recipes!$A$2:$B$11,2,FALSE()))</f>
        <v/>
      </c>
      <c r="D66" s="10" t="str">
        <f>IF(C66="","",VLOOKUP(C66,Ingredients!$A$2:$F$22,2,FALSE()))</f>
        <v/>
      </c>
      <c r="E66" s="10" t="str">
        <f>IF(C66="","",VLOOKUP(C66,Ingredients!$A$2:$F$22,3,FALSE()))</f>
        <v/>
      </c>
      <c r="G66" s="29" t="str">
        <f>IF(OR(C66="",F66=""),"",F66*VLOOKUP(C66,Ingredients!$A$2:$F$22,4,FALSE()))</f>
        <v/>
      </c>
      <c r="H66" t="e">
        <f>INDEX(Ingredients!F:F,MATCH(C66,Ingredients!A:A))</f>
        <v>#N/A</v>
      </c>
    </row>
    <row r="67" spans="2:8" x14ac:dyDescent="0.2">
      <c r="B67" s="10" t="str">
        <f>IF(A67="","",VLOOKUP(A67,Recipes!$A$2:$B$11,2,FALSE()))</f>
        <v/>
      </c>
      <c r="D67" s="10" t="str">
        <f>IF(C67="","",VLOOKUP(C67,Ingredients!$A$2:$F$22,2,FALSE()))</f>
        <v/>
      </c>
      <c r="E67" s="10" t="str">
        <f>IF(C67="","",VLOOKUP(C67,Ingredients!$A$2:$F$22,3,FALSE()))</f>
        <v/>
      </c>
      <c r="G67" s="29" t="str">
        <f>IF(OR(C67="",F67=""),"",F67*VLOOKUP(C67,Ingredients!$A$2:$F$22,4,FALSE()))</f>
        <v/>
      </c>
      <c r="H67" t="e">
        <f>INDEX(Ingredients!F:F,MATCH(C67,Ingredients!A:A))</f>
        <v>#N/A</v>
      </c>
    </row>
    <row r="68" spans="2:8" x14ac:dyDescent="0.2">
      <c r="B68" s="10" t="str">
        <f>IF(A68="","",VLOOKUP(A68,Recipes!$A$2:$B$11,2,FALSE()))</f>
        <v/>
      </c>
      <c r="D68" s="10" t="str">
        <f>IF(C68="","",VLOOKUP(C68,Ingredients!$A$2:$F$22,2,FALSE()))</f>
        <v/>
      </c>
      <c r="E68" s="10" t="str">
        <f>IF(C68="","",VLOOKUP(C68,Ingredients!$A$2:$F$22,3,FALSE()))</f>
        <v/>
      </c>
      <c r="G68" s="29" t="str">
        <f>IF(OR(C68="",F68=""),"",F68*VLOOKUP(C68,Ingredients!$A$2:$F$22,4,FALSE()))</f>
        <v/>
      </c>
      <c r="H68" t="e">
        <f>INDEX(Ingredients!F:F,MATCH(C68,Ingredients!A:A))</f>
        <v>#N/A</v>
      </c>
    </row>
    <row r="69" spans="2:8" x14ac:dyDescent="0.2">
      <c r="B69" s="10" t="str">
        <f>IF(A69="","",VLOOKUP(A69,Recipes!$A$2:$B$11,2,FALSE()))</f>
        <v/>
      </c>
      <c r="D69" s="10" t="str">
        <f>IF(C69="","",VLOOKUP(C69,Ingredients!$A$2:$F$22,2,FALSE()))</f>
        <v/>
      </c>
      <c r="E69" s="10" t="str">
        <f>IF(C69="","",VLOOKUP(C69,Ingredients!$A$2:$F$22,3,FALSE()))</f>
        <v/>
      </c>
      <c r="G69" s="29" t="str">
        <f>IF(OR(C69="",F69=""),"",F69*VLOOKUP(C69,Ingredients!$A$2:$F$22,4,FALSE()))</f>
        <v/>
      </c>
      <c r="H69" t="e">
        <f>INDEX(Ingredients!F:F,MATCH(C69,Ingredients!A:A))</f>
        <v>#N/A</v>
      </c>
    </row>
    <row r="70" spans="2:8" x14ac:dyDescent="0.2">
      <c r="B70" s="10" t="str">
        <f>IF(A70="","",VLOOKUP(A70,Recipes!$A$2:$B$11,2,FALSE()))</f>
        <v/>
      </c>
      <c r="D70" s="10" t="str">
        <f>IF(C70="","",VLOOKUP(C70,Ingredients!$A$2:$F$22,2,FALSE()))</f>
        <v/>
      </c>
      <c r="E70" s="10" t="str">
        <f>IF(C70="","",VLOOKUP(C70,Ingredients!$A$2:$F$22,3,FALSE()))</f>
        <v/>
      </c>
      <c r="G70" s="29" t="str">
        <f>IF(OR(C70="",F70=""),"",F70*VLOOKUP(C70,Ingredients!$A$2:$F$22,4,FALSE()))</f>
        <v/>
      </c>
      <c r="H70" t="e">
        <f>INDEX(Ingredients!F:F,MATCH(C70,Ingredients!A:A))</f>
        <v>#N/A</v>
      </c>
    </row>
    <row r="71" spans="2:8" x14ac:dyDescent="0.2">
      <c r="B71" s="10" t="str">
        <f>IF(A71="","",VLOOKUP(A71,Recipes!$A$2:$B$11,2,FALSE()))</f>
        <v/>
      </c>
      <c r="D71" s="10" t="str">
        <f>IF(C71="","",VLOOKUP(C71,Ingredients!$A$2:$F$22,2,FALSE()))</f>
        <v/>
      </c>
      <c r="E71" s="10" t="str">
        <f>IF(C71="","",VLOOKUP(C71,Ingredients!$A$2:$F$22,3,FALSE()))</f>
        <v/>
      </c>
      <c r="G71" s="29" t="str">
        <f>IF(OR(C71="",F71=""),"",F71*VLOOKUP(C71,Ingredients!$A$2:$F$22,4,FALSE()))</f>
        <v/>
      </c>
      <c r="H71" t="e">
        <f>INDEX(Ingredients!F:F,MATCH(C71,Ingredients!A:A))</f>
        <v>#N/A</v>
      </c>
    </row>
    <row r="72" spans="2:8" x14ac:dyDescent="0.2">
      <c r="B72" s="10" t="str">
        <f>IF(A72="","",VLOOKUP(A72,Recipes!$A$2:$B$11,2,FALSE()))</f>
        <v/>
      </c>
      <c r="D72" s="10" t="str">
        <f>IF(C72="","",VLOOKUP(C72,Ingredients!$A$2:$F$22,2,FALSE()))</f>
        <v/>
      </c>
      <c r="E72" s="10" t="str">
        <f>IF(C72="","",VLOOKUP(C72,Ingredients!$A$2:$F$22,3,FALSE()))</f>
        <v/>
      </c>
      <c r="G72" s="29" t="str">
        <f>IF(OR(C72="",F72=""),"",F72*VLOOKUP(C72,Ingredients!$A$2:$F$22,4,FALSE()))</f>
        <v/>
      </c>
      <c r="H72" t="e">
        <f>INDEX(Ingredients!F:F,MATCH(C72,Ingredients!A:A))</f>
        <v>#N/A</v>
      </c>
    </row>
    <row r="73" spans="2:8" x14ac:dyDescent="0.2">
      <c r="B73" s="10" t="str">
        <f>IF(A73="","",VLOOKUP(A73,Recipes!$A$2:$B$11,2,FALSE()))</f>
        <v/>
      </c>
      <c r="D73" s="10" t="str">
        <f>IF(C73="","",VLOOKUP(C73,Ingredients!$A$2:$F$22,2,FALSE()))</f>
        <v/>
      </c>
      <c r="E73" s="10" t="str">
        <f>IF(C73="","",VLOOKUP(C73,Ingredients!$A$2:$F$22,3,FALSE()))</f>
        <v/>
      </c>
      <c r="G73" s="29" t="str">
        <f>IF(OR(C73="",F73=""),"",F73*VLOOKUP(C73,Ingredients!$A$2:$F$22,4,FALSE()))</f>
        <v/>
      </c>
      <c r="H73" t="e">
        <f>INDEX(Ingredients!F:F,MATCH(C73,Ingredients!A:A))</f>
        <v>#N/A</v>
      </c>
    </row>
    <row r="74" spans="2:8" x14ac:dyDescent="0.2">
      <c r="B74" s="10" t="str">
        <f>IF(A74="","",VLOOKUP(A74,Recipes!$A$2:$B$11,2,FALSE()))</f>
        <v/>
      </c>
      <c r="D74" s="10" t="str">
        <f>IF(C74="","",VLOOKUP(C74,Ingredients!$A$2:$F$22,2,FALSE()))</f>
        <v/>
      </c>
      <c r="E74" s="10" t="str">
        <f>IF(C74="","",VLOOKUP(C74,Ingredients!$A$2:$F$22,3,FALSE()))</f>
        <v/>
      </c>
      <c r="G74" s="29" t="str">
        <f>IF(OR(C74="",F74=""),"",F74*VLOOKUP(C74,Ingredients!$A$2:$F$22,4,FALSE()))</f>
        <v/>
      </c>
      <c r="H74" t="e">
        <f>INDEX(Ingredients!F:F,MATCH(C74,Ingredients!A:A))</f>
        <v>#N/A</v>
      </c>
    </row>
    <row r="75" spans="2:8" x14ac:dyDescent="0.2">
      <c r="B75" s="10" t="str">
        <f>IF(A75="","",VLOOKUP(A75,Recipes!$A$2:$B$11,2,FALSE()))</f>
        <v/>
      </c>
      <c r="D75" s="10" t="str">
        <f>IF(C75="","",VLOOKUP(C75,Ingredients!$A$2:$F$22,2,FALSE()))</f>
        <v/>
      </c>
      <c r="E75" s="10" t="str">
        <f>IF(C75="","",VLOOKUP(C75,Ingredients!$A$2:$F$22,3,FALSE()))</f>
        <v/>
      </c>
      <c r="G75" s="29" t="str">
        <f>IF(OR(C75="",F75=""),"",F75*VLOOKUP(C75,Ingredients!$A$2:$F$22,4,FALSE()))</f>
        <v/>
      </c>
      <c r="H75" t="e">
        <f>INDEX(Ingredients!F:F,MATCH(C75,Ingredients!A:A))</f>
        <v>#N/A</v>
      </c>
    </row>
    <row r="76" spans="2:8" x14ac:dyDescent="0.2">
      <c r="B76" s="10" t="str">
        <f>IF(A76="","",VLOOKUP(A76,Recipes!$A$2:$B$11,2,FALSE()))</f>
        <v/>
      </c>
      <c r="D76" s="10" t="str">
        <f>IF(C76="","",VLOOKUP(C76,Ingredients!$A$2:$F$22,2,FALSE()))</f>
        <v/>
      </c>
      <c r="E76" s="10" t="str">
        <f>IF(C76="","",VLOOKUP(C76,Ingredients!$A$2:$F$22,3,FALSE()))</f>
        <v/>
      </c>
      <c r="G76" s="29" t="str">
        <f>IF(OR(C76="",F76=""),"",F76*VLOOKUP(C76,Ingredients!$A$2:$F$22,4,FALSE()))</f>
        <v/>
      </c>
      <c r="H76" t="e">
        <f>INDEX(Ingredients!F:F,MATCH(C76,Ingredients!A:A))</f>
        <v>#N/A</v>
      </c>
    </row>
    <row r="77" spans="2:8" x14ac:dyDescent="0.2">
      <c r="B77" s="10" t="str">
        <f>IF(A77="","",VLOOKUP(A77,Recipes!$A$2:$B$11,2,FALSE()))</f>
        <v/>
      </c>
      <c r="D77" s="10" t="str">
        <f>IF(C77="","",VLOOKUP(C77,Ingredients!$A$2:$F$22,2,FALSE()))</f>
        <v/>
      </c>
      <c r="E77" s="10" t="str">
        <f>IF(C77="","",VLOOKUP(C77,Ingredients!$A$2:$F$22,3,FALSE()))</f>
        <v/>
      </c>
      <c r="G77" s="29" t="str">
        <f>IF(OR(C77="",F77=""),"",F77*VLOOKUP(C77,Ingredients!$A$2:$F$22,4,FALSE()))</f>
        <v/>
      </c>
      <c r="H77" t="e">
        <f>INDEX(Ingredients!F:F,MATCH(C77,Ingredients!A:A))</f>
        <v>#N/A</v>
      </c>
    </row>
  </sheetData>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allowBlank="1" errorTitle="Invalid Recipe_ID" error="Pick a Recipe_ID that exists on the Recipes tab." xr:uid="{00000000-0002-0000-0300-000000000000}">
          <x14:formula1>
            <xm:f>Recipes!$A$2:$A$11</xm:f>
          </x14:formula1>
          <x14:formula2>
            <xm:f>0</xm:f>
          </x14:formula2>
          <xm:sqref>A2:A77</xm:sqref>
        </x14:dataValidation>
        <x14:dataValidation type="list" allowBlank="1" errorTitle="Invalid Ingredient_ID" error="Pick an Ingredient_ID that exists on the Ingredients tab." xr:uid="{00000000-0002-0000-0300-000001000000}">
          <x14:formula1>
            <xm:f>Ingredients!$A$2:$A$22</xm:f>
          </x14:formula1>
          <x14:formula2>
            <xm:f>0</xm:f>
          </x14:formula2>
          <xm:sqref>C2:C77</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Read_Me</vt:lpstr>
      <vt:lpstr>Ingredients</vt:lpstr>
      <vt:lpstr>Pivot_MarginRank</vt:lpstr>
      <vt:lpstr>Pivot_MarginPersona</vt:lpstr>
      <vt:lpstr>Pivot_AtRisk</vt:lpstr>
      <vt:lpstr>Recipes</vt:lpstr>
      <vt:lpstr>Pivot_CategoriesLineCost</vt:lpstr>
      <vt:lpstr>Recipe_Ingredients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Hung Ly</cp:lastModifiedBy>
  <cp:revision>0</cp:revision>
  <dcterms:created xsi:type="dcterms:W3CDTF">2026-06-28T19:14:02Z</dcterms:created>
  <dcterms:modified xsi:type="dcterms:W3CDTF">2026-07-27T19:00:34Z</dcterms:modified>
  <dc:language>en-US</dc:language>
</cp:coreProperties>
</file>